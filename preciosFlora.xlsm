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filterPrivacy="1" codeName="ThisWorkbook"/>
  <xr:revisionPtr revIDLastSave="0" documentId="8_{D7FFEB20-BD63-4609-B6CF-5397A0C7E70B}" xr6:coauthVersionLast="47" xr6:coauthVersionMax="47" xr10:uidLastSave="{00000000-0000-0000-0000-000000000000}"/>
  <bookViews>
    <workbookView xWindow="828" yWindow="-108" windowWidth="22320" windowHeight="13176" tabRatio="894" xr2:uid="{00000000-000D-0000-FFFF-FFFF00000000}"/>
  </bookViews>
  <sheets>
    <sheet name="GRANOLAS-BARRITAS" sheetId="18" r:id="rId1"/>
    <sheet name="SUPLEMENTOS- COSMETOL." sheetId="9" r:id="rId2"/>
    <sheet name="DULCES-MIEL" sheetId="1" r:id="rId3"/>
    <sheet name="CONDIMENTOS " sheetId="15" r:id="rId4"/>
    <sheet name="ACEITES-SAL-LEV" sheetId="10" r:id="rId5"/>
    <sheet name="FIDEOS" sheetId="11" r:id="rId6"/>
    <sheet name=" HARINAS-PREMEZCLAS" sheetId="2" r:id="rId7"/>
    <sheet name="CHOCOLATES" sheetId="4" r:id="rId8"/>
    <sheet name="ALFAJOR GALLE PAN" sheetId="3" r:id="rId9"/>
    <sheet name="SNACKS" sheetId="5" r:id="rId10"/>
    <sheet name=" TE-CAFE-YERBA-EDULC" sheetId="7" r:id="rId11"/>
    <sheet name="CONGELADOS" sheetId="13" r:id="rId12"/>
    <sheet name="FRESCOS" sheetId="14" r:id="rId13"/>
    <sheet name="BEBIDAS" sheetId="12" r:id="rId14"/>
    <sheet name="FRUTOS SECOS" sheetId="8" r:id="rId15"/>
    <sheet name="SIN TACC" sheetId="20" r:id="rId16"/>
    <sheet name="CEREALES" sheetId="21" r:id="rId17"/>
    <sheet name="FRUTAS DESHID." sheetId="19" r:id="rId18"/>
    <sheet name="YUYOS Y TINTURAS" sheetId="25" r:id="rId19"/>
    <sheet name="ARROZ-LEGUMBRES-SEMILLAS" sheetId="24" r:id="rId20"/>
    <sheet name="REPOSTERIA" sheetId="23" r:id="rId21"/>
    <sheet name="KETO" sheetId="26" r:id="rId2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9" i="20" l="1"/>
  <c r="C5" i="18"/>
  <c r="C17" i="20"/>
  <c r="C25" i="18"/>
  <c r="C19" i="1"/>
  <c r="C9" i="1"/>
  <c r="C21" i="1"/>
  <c r="C28" i="1"/>
  <c r="C51" i="9"/>
  <c r="C49" i="9"/>
  <c r="C46" i="9"/>
  <c r="C39" i="9"/>
  <c r="C52" i="9"/>
  <c r="C48" i="9"/>
  <c r="C94" i="9"/>
  <c r="C10" i="9"/>
  <c r="C97" i="9"/>
  <c r="C98" i="9"/>
  <c r="C99" i="9"/>
  <c r="C11" i="9"/>
  <c r="C44" i="9"/>
  <c r="C29" i="9"/>
  <c r="C59" i="9"/>
  <c r="C45" i="9"/>
  <c r="C47" i="9"/>
  <c r="C32" i="9"/>
  <c r="C10" i="26"/>
  <c r="C34" i="10"/>
  <c r="C85" i="9"/>
  <c r="C78" i="9"/>
  <c r="C77" i="9"/>
  <c r="C41" i="13"/>
  <c r="C32" i="14"/>
  <c r="C43" i="13"/>
  <c r="C99" i="20"/>
  <c r="C29" i="1"/>
  <c r="C41" i="3"/>
  <c r="C37" i="18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74" i="10"/>
  <c r="C73" i="10"/>
  <c r="C75" i="20"/>
  <c r="C17" i="10"/>
  <c r="C19" i="10"/>
  <c r="C76" i="10"/>
  <c r="C77" i="10"/>
  <c r="C78" i="10"/>
  <c r="C79" i="10"/>
  <c r="C21" i="20"/>
  <c r="C87" i="20"/>
  <c r="C43" i="20"/>
  <c r="C42" i="20"/>
  <c r="C41" i="20"/>
  <c r="C28" i="4"/>
  <c r="C44" i="20"/>
  <c r="C23" i="3"/>
  <c r="C4" i="18"/>
  <c r="C20" i="2"/>
  <c r="C48" i="1"/>
  <c r="C47" i="1"/>
  <c r="C49" i="1"/>
  <c r="C53" i="20"/>
  <c r="C28" i="18"/>
  <c r="C30" i="18"/>
  <c r="C45" i="3"/>
  <c r="C46" i="3"/>
  <c r="C54" i="3"/>
  <c r="C15" i="15"/>
  <c r="C32" i="15"/>
  <c r="C31" i="15"/>
  <c r="C98" i="15"/>
  <c r="C99" i="15"/>
  <c r="C60" i="15"/>
  <c r="C45" i="15"/>
  <c r="C111" i="15"/>
  <c r="C112" i="15"/>
  <c r="C113" i="15"/>
  <c r="C114" i="15"/>
  <c r="C115" i="15"/>
  <c r="C116" i="15"/>
  <c r="C117" i="15"/>
  <c r="C118" i="15"/>
  <c r="C119" i="15"/>
  <c r="C76" i="9"/>
  <c r="C28" i="8"/>
  <c r="C27" i="8"/>
  <c r="C27" i="2"/>
  <c r="C29" i="2"/>
  <c r="C11" i="2"/>
  <c r="C12" i="2"/>
  <c r="C10" i="2"/>
  <c r="C22" i="15"/>
  <c r="C51" i="15"/>
  <c r="C47" i="15"/>
  <c r="C46" i="15"/>
  <c r="C48" i="15"/>
  <c r="C59" i="10"/>
  <c r="C60" i="10"/>
  <c r="C27" i="23"/>
  <c r="C38" i="1"/>
  <c r="C32" i="1"/>
  <c r="C37" i="1"/>
  <c r="C71" i="20"/>
  <c r="C10" i="4"/>
  <c r="C11" i="4"/>
  <c r="C56" i="10"/>
  <c r="C8" i="1"/>
  <c r="C34" i="20"/>
  <c r="C31" i="1"/>
  <c r="C34" i="1"/>
  <c r="C48" i="10"/>
  <c r="C61" i="15"/>
  <c r="C59" i="15"/>
  <c r="C50" i="4"/>
  <c r="C48" i="4"/>
  <c r="C49" i="4"/>
  <c r="C47" i="4"/>
  <c r="C34" i="3"/>
  <c r="C82" i="20"/>
  <c r="C94" i="20"/>
  <c r="C48" i="3"/>
  <c r="C49" i="3"/>
  <c r="C85" i="20"/>
  <c r="C92" i="20"/>
  <c r="C54" i="20"/>
  <c r="C21" i="8"/>
  <c r="C15" i="14"/>
  <c r="C43" i="3"/>
  <c r="C12" i="1"/>
  <c r="C42" i="3"/>
  <c r="C43" i="19"/>
  <c r="C45" i="19"/>
  <c r="C46" i="19"/>
  <c r="C32" i="8"/>
  <c r="C33" i="8"/>
  <c r="C22" i="14"/>
  <c r="C43" i="1"/>
  <c r="C32" i="24"/>
  <c r="C9" i="11"/>
  <c r="C7" i="11"/>
  <c r="C6" i="11"/>
  <c r="C33" i="20"/>
  <c r="C25" i="20"/>
  <c r="C24" i="20"/>
  <c r="C23" i="20"/>
  <c r="C18" i="20"/>
  <c r="C100" i="20"/>
  <c r="C90" i="9"/>
  <c r="C54" i="9"/>
  <c r="C42" i="9"/>
  <c r="C41" i="9"/>
  <c r="C20" i="9"/>
  <c r="C22" i="9"/>
  <c r="C95" i="9"/>
  <c r="C58" i="9"/>
  <c r="C28" i="9"/>
  <c r="C79" i="2"/>
  <c r="C81" i="15"/>
  <c r="C62" i="15"/>
  <c r="C52" i="15"/>
  <c r="C62" i="20"/>
  <c r="C61" i="10"/>
  <c r="C14" i="1"/>
  <c r="C70" i="2"/>
  <c r="C63" i="20"/>
  <c r="C56" i="20"/>
  <c r="C20" i="21"/>
  <c r="C9" i="21"/>
  <c r="C10" i="21"/>
  <c r="C11" i="21"/>
  <c r="C13" i="21"/>
  <c r="C65" i="20"/>
  <c r="C12" i="11"/>
  <c r="C11" i="10"/>
  <c r="C20" i="10"/>
  <c r="C60" i="9"/>
  <c r="C72" i="24"/>
  <c r="C73" i="24"/>
  <c r="C25" i="24"/>
  <c r="C26" i="24"/>
  <c r="C27" i="24"/>
  <c r="C23" i="8"/>
  <c r="C24" i="8"/>
  <c r="C29" i="24"/>
  <c r="C30" i="24"/>
  <c r="C38" i="23"/>
  <c r="C39" i="23"/>
  <c r="C40" i="23"/>
  <c r="C41" i="1"/>
  <c r="C40" i="1"/>
  <c r="C39" i="1"/>
  <c r="C33" i="10"/>
  <c r="C14" i="3"/>
  <c r="C6" i="14"/>
  <c r="C6" i="13"/>
  <c r="C5" i="13"/>
  <c r="C7" i="13"/>
  <c r="C31" i="14"/>
  <c r="C28" i="14"/>
  <c r="C29" i="4"/>
  <c r="C7" i="18"/>
  <c r="C36" i="18"/>
  <c r="C34" i="18"/>
  <c r="C53" i="15"/>
  <c r="C54" i="15"/>
  <c r="C74" i="20"/>
  <c r="C31" i="23"/>
  <c r="C9" i="9"/>
  <c r="C21" i="10"/>
  <c r="C22" i="10"/>
  <c r="C23" i="10"/>
  <c r="C9" i="26"/>
  <c r="C2" i="26"/>
  <c r="C13" i="10"/>
  <c r="C18" i="10"/>
  <c r="C6" i="26"/>
  <c r="C5" i="26"/>
  <c r="C4" i="26"/>
  <c r="C3" i="26"/>
  <c r="C18" i="11"/>
  <c r="C90" i="20"/>
  <c r="C82" i="15"/>
  <c r="C63" i="9"/>
  <c r="C8" i="25"/>
  <c r="C7" i="25"/>
  <c r="C9" i="25"/>
  <c r="C13" i="15"/>
  <c r="C12" i="8"/>
  <c r="C83" i="8"/>
  <c r="C84" i="8"/>
  <c r="C85" i="8"/>
  <c r="C52" i="1"/>
  <c r="C54" i="1"/>
  <c r="C24" i="9"/>
  <c r="C6" i="23"/>
  <c r="C8" i="23"/>
  <c r="C9" i="23"/>
  <c r="C41" i="2"/>
  <c r="C42" i="2"/>
  <c r="C43" i="2"/>
  <c r="C23" i="18"/>
  <c r="C51" i="24"/>
  <c r="C50" i="24"/>
  <c r="C49" i="24"/>
  <c r="C48" i="24"/>
  <c r="C45" i="24"/>
  <c r="C46" i="24"/>
  <c r="C47" i="24"/>
  <c r="C45" i="23"/>
  <c r="C46" i="23"/>
  <c r="C47" i="23"/>
  <c r="C48" i="23"/>
  <c r="C41" i="23"/>
  <c r="C42" i="23"/>
  <c r="C43" i="23"/>
  <c r="C44" i="23"/>
  <c r="C51" i="4"/>
  <c r="C52" i="4"/>
  <c r="C53" i="4"/>
  <c r="C54" i="4"/>
  <c r="C42" i="4"/>
  <c r="C43" i="4"/>
  <c r="C44" i="4"/>
  <c r="C45" i="4"/>
  <c r="C46" i="4"/>
  <c r="C37" i="4"/>
  <c r="C38" i="4"/>
  <c r="C39" i="4"/>
  <c r="C40" i="4"/>
  <c r="C7" i="4"/>
  <c r="C8" i="4"/>
  <c r="C9" i="4"/>
  <c r="C2" i="4"/>
  <c r="C3" i="4"/>
  <c r="C4" i="4"/>
  <c r="C5" i="4"/>
  <c r="C51" i="23"/>
  <c r="C50" i="23"/>
  <c r="C88" i="8"/>
  <c r="C89" i="8"/>
  <c r="C90" i="8"/>
  <c r="C21" i="23"/>
  <c r="C8" i="9"/>
  <c r="C22" i="23"/>
  <c r="C18" i="23"/>
  <c r="C32" i="4"/>
  <c r="C56" i="4"/>
  <c r="C20" i="1"/>
  <c r="C53" i="3"/>
  <c r="C18" i="4"/>
  <c r="C17" i="4"/>
  <c r="C16" i="4"/>
  <c r="C19" i="4"/>
  <c r="C21" i="3"/>
  <c r="C6" i="10"/>
  <c r="C52" i="20"/>
  <c r="C35" i="20"/>
  <c r="C19" i="20"/>
  <c r="C20" i="20"/>
  <c r="C22" i="20"/>
  <c r="C65" i="2"/>
  <c r="C64" i="2"/>
  <c r="C54" i="2"/>
  <c r="C56" i="2"/>
  <c r="C81" i="24"/>
  <c r="C82" i="24"/>
  <c r="C83" i="24"/>
  <c r="C84" i="24"/>
  <c r="C89" i="9"/>
  <c r="C43" i="9"/>
  <c r="C50" i="9"/>
  <c r="C40" i="9"/>
  <c r="C30" i="9"/>
  <c r="C18" i="9"/>
  <c r="C5" i="25"/>
  <c r="C25" i="9"/>
  <c r="C17" i="21"/>
  <c r="C10" i="3"/>
  <c r="C66" i="2"/>
  <c r="C86" i="9"/>
  <c r="C2" i="20"/>
  <c r="C67" i="24"/>
  <c r="C66" i="3"/>
  <c r="C3" i="3"/>
  <c r="C40" i="3"/>
  <c r="C84" i="2"/>
  <c r="C69" i="24"/>
  <c r="C70" i="24"/>
  <c r="C71" i="24"/>
  <c r="C57" i="10"/>
  <c r="C11" i="1"/>
  <c r="C35" i="1"/>
  <c r="C33" i="1"/>
  <c r="C88" i="9"/>
  <c r="C19" i="23"/>
  <c r="C50" i="25"/>
  <c r="C51" i="25"/>
  <c r="C52" i="25"/>
  <c r="C53" i="25"/>
  <c r="C4" i="3"/>
  <c r="C31" i="8"/>
  <c r="C30" i="8"/>
  <c r="C29" i="8"/>
  <c r="C34" i="12"/>
  <c r="C50" i="10"/>
  <c r="C31" i="10"/>
  <c r="C63" i="3"/>
  <c r="C31" i="24"/>
  <c r="C93" i="15"/>
  <c r="C92" i="15"/>
  <c r="C32" i="25"/>
  <c r="C31" i="25"/>
  <c r="C49" i="25"/>
  <c r="C41" i="19"/>
  <c r="C42" i="19"/>
  <c r="C33" i="18"/>
  <c r="C32" i="18"/>
  <c r="C26" i="18"/>
  <c r="C30" i="19"/>
  <c r="C31" i="19"/>
  <c r="C29" i="19"/>
  <c r="C63" i="10"/>
  <c r="C45" i="1"/>
  <c r="C17" i="1"/>
  <c r="C16" i="18"/>
  <c r="C17" i="18"/>
  <c r="C18" i="18"/>
  <c r="C3" i="24"/>
  <c r="C31" i="20"/>
  <c r="C32" i="20"/>
  <c r="C17" i="12"/>
  <c r="C5" i="23"/>
  <c r="C38" i="18"/>
  <c r="C14" i="10"/>
  <c r="C10" i="20"/>
  <c r="C8" i="20"/>
  <c r="C11" i="20"/>
  <c r="C2" i="18"/>
  <c r="C5" i="24"/>
  <c r="C63" i="25"/>
  <c r="C27" i="14"/>
  <c r="C7" i="14"/>
  <c r="C73" i="20"/>
  <c r="C38" i="10"/>
  <c r="C27" i="4"/>
  <c r="C10" i="18"/>
  <c r="C24" i="3"/>
  <c r="C56" i="3"/>
  <c r="C55" i="3"/>
  <c r="C29" i="3"/>
  <c r="C52" i="3"/>
  <c r="C11" i="19"/>
  <c r="C12" i="19"/>
  <c r="C2" i="2"/>
  <c r="C84" i="15"/>
  <c r="C83" i="15"/>
  <c r="C56" i="19"/>
  <c r="C54" i="19"/>
  <c r="C53" i="19"/>
  <c r="C32" i="21"/>
  <c r="C30" i="21"/>
  <c r="C29" i="21"/>
  <c r="C12" i="23"/>
  <c r="C11" i="23"/>
  <c r="C10" i="23"/>
  <c r="C12" i="20"/>
  <c r="C84" i="20"/>
  <c r="C42" i="1"/>
  <c r="C8" i="10"/>
  <c r="C2" i="10"/>
  <c r="C5" i="10"/>
  <c r="C26" i="10"/>
  <c r="C6" i="9"/>
  <c r="C14" i="21"/>
  <c r="C15" i="21"/>
  <c r="C37" i="23"/>
  <c r="C36" i="23"/>
  <c r="C17" i="25"/>
  <c r="C97" i="15"/>
  <c r="C103" i="15"/>
  <c r="C50" i="15"/>
  <c r="C25" i="25"/>
  <c r="C24" i="25"/>
  <c r="C18" i="14" l="1"/>
  <c r="C13" i="12"/>
  <c r="C76" i="20"/>
  <c r="C74" i="24"/>
  <c r="C10" i="24"/>
  <c r="C10" i="11"/>
  <c r="C26" i="23"/>
  <c r="C20" i="23"/>
  <c r="C17" i="23"/>
  <c r="C16" i="23"/>
  <c r="C15" i="23"/>
  <c r="C14" i="23"/>
  <c r="C13" i="23"/>
  <c r="C35" i="23"/>
  <c r="C34" i="23"/>
  <c r="C33" i="23"/>
  <c r="C32" i="23"/>
  <c r="C30" i="23"/>
  <c r="C25" i="23"/>
  <c r="C3" i="23"/>
  <c r="C2" i="23"/>
  <c r="C17" i="5"/>
  <c r="C78" i="15"/>
  <c r="C22" i="4"/>
  <c r="C25" i="4"/>
  <c r="C23" i="4"/>
  <c r="C12" i="4"/>
  <c r="C13" i="4"/>
  <c r="C14" i="4"/>
  <c r="C15" i="4"/>
  <c r="C20" i="4"/>
  <c r="C21" i="4"/>
  <c r="C24" i="4"/>
  <c r="C55" i="4"/>
  <c r="C6" i="4"/>
  <c r="C41" i="4"/>
  <c r="C30" i="4"/>
  <c r="C31" i="4"/>
  <c r="C33" i="4"/>
  <c r="C34" i="4"/>
  <c r="C35" i="4"/>
  <c r="C36" i="4"/>
  <c r="C2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61" i="26"/>
  <c r="C60" i="26"/>
  <c r="C59" i="26"/>
  <c r="C58" i="26"/>
  <c r="C57" i="26"/>
  <c r="C56" i="26"/>
  <c r="C55" i="26"/>
  <c r="C54" i="26"/>
  <c r="C53" i="26"/>
  <c r="C52" i="26"/>
  <c r="C51" i="26"/>
  <c r="C50" i="26"/>
  <c r="C49" i="26"/>
  <c r="C48" i="26"/>
  <c r="C47" i="26"/>
  <c r="C46" i="26"/>
  <c r="C45" i="26"/>
  <c r="C44" i="26"/>
  <c r="C43" i="26"/>
  <c r="C42" i="26"/>
  <c r="C41" i="26"/>
  <c r="C40" i="26"/>
  <c r="C39" i="26"/>
  <c r="C38" i="26"/>
  <c r="C37" i="26"/>
  <c r="C36" i="26"/>
  <c r="C35" i="26"/>
  <c r="C34" i="26"/>
  <c r="C33" i="26"/>
  <c r="C32" i="26"/>
  <c r="C31" i="26"/>
  <c r="C30" i="26"/>
  <c r="C29" i="26"/>
  <c r="C28" i="26"/>
  <c r="C27" i="26"/>
  <c r="C26" i="26"/>
  <c r="C25" i="26"/>
  <c r="C24" i="26"/>
  <c r="C23" i="26"/>
  <c r="C22" i="26"/>
  <c r="C21" i="26"/>
  <c r="C20" i="26"/>
  <c r="C19" i="26"/>
  <c r="C18" i="26"/>
  <c r="C17" i="26"/>
  <c r="C16" i="26"/>
  <c r="C15" i="26"/>
  <c r="C14" i="26"/>
  <c r="C13" i="26"/>
  <c r="C12" i="26"/>
  <c r="C11" i="26"/>
  <c r="C8" i="26"/>
  <c r="C7" i="26"/>
  <c r="C30" i="1"/>
  <c r="C10" i="1"/>
  <c r="C38" i="20"/>
  <c r="C43" i="15"/>
  <c r="C61" i="20"/>
  <c r="C6" i="25"/>
  <c r="C71" i="10"/>
  <c r="C49" i="10"/>
  <c r="C13" i="9"/>
  <c r="C54" i="24"/>
  <c r="C55" i="24"/>
  <c r="C53" i="24"/>
  <c r="C42" i="18"/>
  <c r="C15" i="3"/>
  <c r="C37" i="10"/>
  <c r="C58" i="20"/>
  <c r="C55" i="2"/>
  <c r="C28" i="20"/>
  <c r="C5" i="20"/>
  <c r="C17" i="11"/>
  <c r="C57" i="20"/>
  <c r="C9" i="12"/>
  <c r="C80" i="20"/>
  <c r="C5" i="9"/>
  <c r="C58" i="10"/>
  <c r="C55" i="20"/>
  <c r="C26" i="25"/>
  <c r="C93" i="20"/>
  <c r="C53" i="2"/>
  <c r="C52" i="2"/>
  <c r="C27" i="9"/>
  <c r="C21" i="21"/>
  <c r="C4" i="10"/>
  <c r="C25" i="10"/>
  <c r="C44" i="2"/>
  <c r="C45" i="2"/>
  <c r="C46" i="2"/>
  <c r="C47" i="2"/>
  <c r="C35" i="10"/>
  <c r="C2" i="12"/>
  <c r="C13" i="25"/>
  <c r="C11" i="25"/>
  <c r="C14" i="13"/>
  <c r="C96" i="20"/>
  <c r="C72" i="10"/>
  <c r="C35" i="25"/>
  <c r="C12" i="3"/>
  <c r="C109" i="15"/>
  <c r="C107" i="15"/>
  <c r="C49" i="15"/>
  <c r="C39" i="15"/>
  <c r="C33" i="15"/>
  <c r="C69" i="20"/>
  <c r="C68" i="20"/>
  <c r="C67" i="20"/>
  <c r="C64" i="20"/>
  <c r="C79" i="20"/>
  <c r="C78" i="20"/>
  <c r="C77" i="20"/>
  <c r="C40" i="20"/>
  <c r="C30" i="20"/>
  <c r="C27" i="20"/>
  <c r="C98" i="2"/>
  <c r="C37" i="20"/>
  <c r="C64" i="25"/>
  <c r="C18" i="19"/>
  <c r="C19" i="19"/>
  <c r="C79" i="24"/>
  <c r="C77" i="24"/>
  <c r="C25" i="13"/>
  <c r="C118" i="24"/>
  <c r="C91" i="2"/>
  <c r="C96" i="2"/>
  <c r="C78" i="24"/>
  <c r="C22" i="8"/>
  <c r="C20" i="8"/>
  <c r="C33" i="24"/>
  <c r="C17" i="24"/>
  <c r="C70" i="10"/>
  <c r="C40" i="10"/>
  <c r="C15" i="25"/>
  <c r="C17" i="14"/>
  <c r="C13" i="20"/>
  <c r="C26" i="8"/>
  <c r="C25" i="8"/>
  <c r="C57" i="19"/>
  <c r="C44" i="19"/>
  <c r="C48" i="19"/>
  <c r="C52" i="10"/>
  <c r="C54" i="10"/>
  <c r="C53" i="10"/>
  <c r="C51" i="10"/>
  <c r="C36" i="1"/>
  <c r="C100" i="15"/>
  <c r="C102" i="15"/>
  <c r="C12" i="9"/>
  <c r="C67" i="10"/>
  <c r="C13" i="13"/>
  <c r="C12" i="13"/>
  <c r="C33" i="13"/>
  <c r="C11" i="13"/>
  <c r="C39" i="13"/>
  <c r="C35" i="13"/>
  <c r="C36" i="13"/>
  <c r="C58" i="3"/>
  <c r="C34" i="2"/>
  <c r="C19" i="18"/>
  <c r="C36" i="20"/>
  <c r="C17" i="13"/>
  <c r="C40" i="13"/>
  <c r="C38" i="13"/>
  <c r="C37" i="13"/>
  <c r="C19" i="13"/>
  <c r="C5" i="3"/>
  <c r="C16" i="10"/>
  <c r="C20" i="13"/>
  <c r="C32" i="13"/>
  <c r="C27" i="13"/>
  <c r="C30" i="10"/>
  <c r="C43" i="24"/>
  <c r="C2" i="25"/>
  <c r="C3" i="25"/>
  <c r="C23" i="15"/>
  <c r="C64" i="15"/>
  <c r="C3" i="21"/>
  <c r="C2" i="21"/>
  <c r="C4" i="21"/>
  <c r="C2" i="9"/>
  <c r="C23" i="1"/>
  <c r="C22" i="1"/>
  <c r="C63" i="15"/>
  <c r="C19" i="25"/>
  <c r="C4" i="25"/>
  <c r="C7" i="3"/>
  <c r="C61" i="13"/>
  <c r="C26" i="13"/>
  <c r="C117" i="24"/>
  <c r="C19" i="2"/>
  <c r="C65" i="24"/>
  <c r="C66" i="24"/>
  <c r="C64" i="24"/>
  <c r="C51" i="2"/>
  <c r="C22" i="13"/>
  <c r="C10" i="19"/>
  <c r="C65" i="3"/>
  <c r="C32" i="3"/>
  <c r="C41" i="18"/>
  <c r="C9" i="13"/>
  <c r="C46" i="25"/>
  <c r="C7" i="1"/>
  <c r="C36" i="10"/>
  <c r="C107" i="24"/>
  <c r="C109" i="24"/>
  <c r="C110" i="24"/>
  <c r="C84" i="9"/>
  <c r="C44" i="3"/>
  <c r="C57" i="2"/>
  <c r="C58" i="2"/>
  <c r="C4" i="2"/>
  <c r="C3" i="2"/>
  <c r="C91" i="20"/>
  <c r="C8" i="3"/>
  <c r="C88" i="20"/>
  <c r="C51" i="20"/>
  <c r="C50" i="20"/>
  <c r="C49" i="20"/>
  <c r="C47" i="20"/>
  <c r="C28" i="12"/>
  <c r="C31" i="12"/>
  <c r="C68" i="10"/>
  <c r="C89" i="15"/>
  <c r="C91" i="15"/>
  <c r="C90" i="15"/>
  <c r="C69" i="10"/>
  <c r="C66" i="10"/>
  <c r="C41" i="10"/>
  <c r="C54" i="25"/>
  <c r="C65" i="10"/>
  <c r="C97" i="20"/>
  <c r="C93" i="2"/>
  <c r="C78" i="8"/>
  <c r="C79" i="8"/>
  <c r="C81" i="8"/>
  <c r="C24" i="1"/>
  <c r="C15" i="1"/>
  <c r="C43" i="25"/>
  <c r="C3" i="10"/>
  <c r="C28" i="15"/>
  <c r="C33" i="19"/>
  <c r="C34" i="19"/>
  <c r="C35" i="19"/>
  <c r="C38" i="19"/>
  <c r="C39" i="19"/>
  <c r="C112" i="24"/>
  <c r="C89" i="24"/>
  <c r="C93" i="24"/>
  <c r="C91" i="24"/>
  <c r="C92" i="24"/>
  <c r="C90" i="24"/>
  <c r="C18" i="2"/>
  <c r="C56" i="9"/>
  <c r="C4" i="9"/>
  <c r="C93" i="9"/>
  <c r="C49" i="8"/>
  <c r="C15" i="10"/>
  <c r="C6" i="20"/>
  <c r="C24" i="10"/>
  <c r="C55" i="13"/>
  <c r="C30" i="3"/>
  <c r="C57" i="24"/>
  <c r="C22" i="2"/>
  <c r="C2" i="24"/>
  <c r="C19" i="5"/>
  <c r="C59" i="3"/>
  <c r="C7" i="24"/>
  <c r="C8" i="24"/>
  <c r="C40" i="8"/>
  <c r="C39" i="8"/>
  <c r="C23" i="21"/>
  <c r="C22" i="21"/>
  <c r="C95" i="2"/>
  <c r="C23" i="14"/>
  <c r="C2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37" i="24"/>
  <c r="C38" i="24"/>
  <c r="C39" i="24"/>
  <c r="C15" i="19"/>
  <c r="C13" i="19"/>
  <c r="C14" i="19"/>
  <c r="C16" i="19"/>
  <c r="C44" i="1"/>
  <c r="C45" i="20"/>
  <c r="C89" i="20"/>
  <c r="C39" i="10"/>
  <c r="C9" i="18"/>
  <c r="C10" i="10"/>
  <c r="C9" i="10"/>
  <c r="C38" i="15"/>
  <c r="C7" i="5"/>
  <c r="C4" i="5"/>
  <c r="C65" i="25"/>
  <c r="C62" i="25"/>
  <c r="C41" i="25"/>
  <c r="C11" i="15"/>
  <c r="C7" i="15"/>
  <c r="C65" i="15"/>
  <c r="C24" i="15"/>
  <c r="C37" i="15"/>
  <c r="C86" i="15"/>
  <c r="C106" i="15"/>
  <c r="C58" i="15"/>
  <c r="C42" i="15"/>
  <c r="C79" i="15"/>
  <c r="C96" i="15"/>
  <c r="C94" i="15"/>
  <c r="C6" i="15"/>
  <c r="C56" i="25"/>
  <c r="C55" i="25"/>
  <c r="C16" i="3"/>
  <c r="C119" i="24"/>
  <c r="C11" i="24"/>
  <c r="C67" i="2"/>
  <c r="C6" i="1"/>
  <c r="C36" i="3"/>
  <c r="C95" i="20"/>
  <c r="C54" i="13"/>
  <c r="C60" i="3"/>
  <c r="C35" i="18"/>
  <c r="C34" i="25"/>
  <c r="C47" i="25"/>
  <c r="C63" i="8"/>
  <c r="C64" i="8"/>
  <c r="C67" i="8"/>
  <c r="C23" i="19"/>
  <c r="C26" i="19"/>
  <c r="C27" i="19"/>
  <c r="C25" i="19"/>
  <c r="C59" i="8"/>
  <c r="C60" i="8"/>
  <c r="C62" i="8"/>
  <c r="C80" i="24"/>
  <c r="C30" i="2"/>
  <c r="C106" i="2"/>
  <c r="C107" i="2"/>
  <c r="C108" i="2"/>
  <c r="C109" i="2"/>
  <c r="C100" i="2"/>
  <c r="C72" i="9"/>
  <c r="C38" i="9"/>
  <c r="C114" i="24"/>
  <c r="C113" i="24"/>
  <c r="C115" i="24"/>
  <c r="C111" i="24"/>
  <c r="C102" i="24"/>
  <c r="C105" i="24"/>
  <c r="C104" i="24"/>
  <c r="C106" i="24"/>
  <c r="C103" i="24"/>
  <c r="C101" i="24"/>
  <c r="C100" i="24"/>
  <c r="C99" i="24"/>
  <c r="C98" i="24"/>
  <c r="C97" i="24"/>
  <c r="C96" i="24"/>
  <c r="C95" i="24"/>
  <c r="C94" i="24"/>
  <c r="C52" i="24"/>
  <c r="C88" i="24"/>
  <c r="C87" i="24"/>
  <c r="C86" i="24"/>
  <c r="C85" i="24"/>
  <c r="C76" i="24"/>
  <c r="C75" i="24"/>
  <c r="C68" i="24"/>
  <c r="C63" i="24"/>
  <c r="C62" i="24"/>
  <c r="C61" i="24"/>
  <c r="C60" i="24"/>
  <c r="C59" i="24"/>
  <c r="C58" i="24"/>
  <c r="C56" i="24"/>
  <c r="C41" i="24"/>
  <c r="C40" i="24"/>
  <c r="C36" i="24"/>
  <c r="C35" i="24"/>
  <c r="C34" i="24"/>
  <c r="C28" i="24"/>
  <c r="C24" i="24"/>
  <c r="C23" i="24"/>
  <c r="C22" i="24"/>
  <c r="C21" i="24"/>
  <c r="C20" i="24"/>
  <c r="C19" i="24"/>
  <c r="C18" i="24"/>
  <c r="C16" i="24"/>
  <c r="C15" i="24"/>
  <c r="C14" i="24"/>
  <c r="C13" i="24"/>
  <c r="C12" i="24"/>
  <c r="C9" i="24"/>
  <c r="C14" i="25"/>
  <c r="C10" i="25"/>
  <c r="C16" i="25"/>
  <c r="C60" i="25"/>
  <c r="C59" i="25"/>
  <c r="C58" i="25"/>
  <c r="C57" i="25"/>
  <c r="C48" i="25"/>
  <c r="C45" i="25"/>
  <c r="C44" i="25"/>
  <c r="C42" i="25"/>
  <c r="C40" i="25"/>
  <c r="C39" i="25"/>
  <c r="C38" i="25"/>
  <c r="C37" i="25"/>
  <c r="C33" i="25"/>
  <c r="C30" i="25"/>
  <c r="C29" i="25"/>
  <c r="C28" i="25"/>
  <c r="C27" i="25"/>
  <c r="C23" i="25"/>
  <c r="C22" i="25"/>
  <c r="C21" i="25"/>
  <c r="C20" i="25"/>
  <c r="C18" i="25"/>
  <c r="C47" i="3"/>
  <c r="C56" i="15"/>
  <c r="C49" i="2"/>
  <c r="C77" i="2"/>
  <c r="C18" i="21"/>
  <c r="C19" i="21"/>
  <c r="C16" i="21"/>
  <c r="C48" i="2"/>
  <c r="C31" i="18"/>
  <c r="C101" i="15"/>
  <c r="C27" i="15"/>
  <c r="C26" i="15"/>
  <c r="C23" i="2"/>
  <c r="C24" i="2"/>
  <c r="C26" i="2"/>
  <c r="C3" i="11"/>
  <c r="C17" i="2"/>
  <c r="C15" i="2"/>
  <c r="C82" i="2"/>
  <c r="C83" i="2"/>
  <c r="C25" i="21"/>
  <c r="C79" i="9"/>
  <c r="C83" i="9"/>
  <c r="C82" i="9"/>
  <c r="C12" i="14"/>
  <c r="C9" i="14"/>
  <c r="C5" i="14"/>
  <c r="C27" i="1"/>
  <c r="C50" i="1"/>
  <c r="C9" i="3"/>
  <c r="C45" i="10"/>
  <c r="C6" i="3"/>
  <c r="C20" i="3"/>
  <c r="C58" i="1"/>
  <c r="C53" i="1"/>
  <c r="C37" i="9"/>
  <c r="C25" i="3"/>
  <c r="C13" i="8"/>
  <c r="C6" i="8"/>
  <c r="C7" i="8"/>
  <c r="C9" i="8"/>
  <c r="C4" i="1"/>
  <c r="C2" i="1"/>
  <c r="C81" i="9"/>
  <c r="C80" i="9"/>
  <c r="C81" i="3"/>
  <c r="C7" i="12"/>
  <c r="C18" i="15"/>
  <c r="C45" i="8"/>
  <c r="C46" i="8"/>
  <c r="C47" i="8"/>
  <c r="C48" i="8"/>
  <c r="C60" i="19"/>
  <c r="C59" i="19"/>
  <c r="C58" i="19"/>
  <c r="C61" i="19"/>
  <c r="C27" i="21"/>
  <c r="C26" i="21"/>
  <c r="C28" i="21"/>
  <c r="C51" i="19"/>
  <c r="C50" i="19"/>
  <c r="C49" i="19"/>
  <c r="C52" i="19"/>
  <c r="C37" i="19"/>
  <c r="C36" i="19"/>
  <c r="C24" i="19"/>
  <c r="C22" i="19"/>
  <c r="C21" i="19"/>
  <c r="C20" i="19"/>
  <c r="C17" i="19"/>
  <c r="C9" i="19"/>
  <c r="C8" i="19"/>
  <c r="C7" i="19"/>
  <c r="C6" i="19"/>
  <c r="C5" i="19"/>
  <c r="C4" i="19"/>
  <c r="C3" i="19"/>
  <c r="C2" i="19"/>
  <c r="C8" i="21"/>
  <c r="C7" i="21"/>
  <c r="C6" i="21"/>
  <c r="C5" i="21"/>
  <c r="C12" i="21"/>
  <c r="C4" i="20"/>
  <c r="C3" i="20"/>
  <c r="C98" i="20"/>
  <c r="C15" i="20"/>
  <c r="C86" i="20"/>
  <c r="C81" i="20"/>
  <c r="C70" i="20"/>
  <c r="C16" i="20"/>
  <c r="C9" i="20"/>
  <c r="C7" i="20"/>
  <c r="C2" i="13"/>
  <c r="C11" i="5"/>
  <c r="C18" i="5"/>
  <c r="C10" i="5"/>
  <c r="C17" i="9"/>
  <c r="C23" i="13"/>
  <c r="C5" i="11"/>
  <c r="C4" i="11"/>
  <c r="C103" i="2"/>
  <c r="C64" i="10"/>
  <c r="C14" i="18"/>
  <c r="C13" i="1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36" i="25"/>
  <c r="C12" i="25"/>
  <c r="C61" i="25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44" i="24"/>
  <c r="C6" i="24"/>
  <c r="C4" i="24"/>
  <c r="C42" i="24"/>
  <c r="C116" i="24"/>
  <c r="C108" i="24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61" i="23"/>
  <c r="C60" i="23"/>
  <c r="C59" i="23"/>
  <c r="C58" i="23"/>
  <c r="C57" i="23"/>
  <c r="C56" i="23"/>
  <c r="C55" i="23"/>
  <c r="C54" i="23"/>
  <c r="C53" i="23"/>
  <c r="C52" i="23"/>
  <c r="C24" i="23"/>
  <c r="C7" i="23"/>
  <c r="C49" i="23"/>
  <c r="C23" i="23"/>
  <c r="C4" i="23"/>
  <c r="C29" i="23"/>
  <c r="C28" i="23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61" i="21"/>
  <c r="C60" i="21"/>
  <c r="C59" i="21"/>
  <c r="C58" i="21"/>
  <c r="C57" i="21"/>
  <c r="C56" i="21"/>
  <c r="C55" i="21"/>
  <c r="C54" i="21"/>
  <c r="C53" i="21"/>
  <c r="C52" i="21"/>
  <c r="C51" i="21"/>
  <c r="C50" i="21"/>
  <c r="C49" i="21"/>
  <c r="C48" i="21"/>
  <c r="C47" i="21"/>
  <c r="C46" i="21"/>
  <c r="C45" i="21"/>
  <c r="C44" i="21"/>
  <c r="C43" i="21"/>
  <c r="C42" i="21"/>
  <c r="C41" i="21"/>
  <c r="C40" i="21"/>
  <c r="C39" i="21"/>
  <c r="C38" i="21"/>
  <c r="C37" i="21"/>
  <c r="C36" i="21"/>
  <c r="C35" i="21"/>
  <c r="C34" i="21"/>
  <c r="C33" i="21"/>
  <c r="C31" i="21"/>
  <c r="C24" i="21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72" i="20"/>
  <c r="C60" i="20"/>
  <c r="C26" i="20"/>
  <c r="C29" i="20"/>
  <c r="C83" i="20"/>
  <c r="C39" i="20"/>
  <c r="C14" i="20"/>
  <c r="C46" i="20"/>
  <c r="C48" i="20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55" i="19"/>
  <c r="C28" i="19"/>
  <c r="C40" i="19"/>
  <c r="C47" i="19"/>
  <c r="C32" i="19"/>
  <c r="C90" i="3"/>
  <c r="C92" i="3"/>
  <c r="C88" i="3"/>
  <c r="C87" i="3"/>
  <c r="C17" i="15"/>
  <c r="C107" i="8"/>
  <c r="C105" i="8"/>
  <c r="C44" i="10"/>
  <c r="C28" i="10"/>
  <c r="C27" i="10"/>
  <c r="C12" i="10"/>
  <c r="C65" i="13"/>
  <c r="C87" i="13"/>
  <c r="C26" i="14"/>
  <c r="C24" i="14"/>
  <c r="C13" i="14"/>
  <c r="C31" i="3"/>
  <c r="C71" i="3"/>
  <c r="C93" i="8"/>
  <c r="C39" i="2"/>
  <c r="C76" i="15"/>
  <c r="C10" i="15"/>
  <c r="C57" i="15"/>
  <c r="C85" i="15"/>
  <c r="C88" i="15"/>
  <c r="C5" i="15"/>
  <c r="C8" i="11"/>
  <c r="C94" i="8"/>
  <c r="C102" i="8"/>
  <c r="C22" i="3"/>
  <c r="C29" i="15"/>
  <c r="C99" i="2"/>
  <c r="C44" i="8"/>
  <c r="C8" i="8"/>
  <c r="C21" i="15"/>
  <c r="C12" i="15"/>
  <c r="C30" i="15"/>
  <c r="C9" i="15"/>
  <c r="C104" i="15"/>
  <c r="C105" i="15"/>
  <c r="C51" i="1"/>
  <c r="C97" i="3"/>
  <c r="C56" i="1"/>
  <c r="C25" i="15"/>
  <c r="C96" i="9"/>
  <c r="C13" i="11"/>
  <c r="C16" i="12"/>
  <c r="C136" i="8"/>
  <c r="C134" i="8"/>
  <c r="C119" i="8"/>
  <c r="C15" i="8"/>
  <c r="C13" i="18"/>
  <c r="C15" i="18"/>
  <c r="C24" i="18"/>
  <c r="C22" i="18"/>
  <c r="C43" i="18"/>
  <c r="C61" i="9"/>
  <c r="C62" i="9"/>
  <c r="C64" i="9"/>
  <c r="C71" i="2"/>
  <c r="C41" i="8"/>
  <c r="C42" i="8"/>
  <c r="C127" i="8"/>
  <c r="C125" i="8"/>
  <c r="C124" i="8"/>
  <c r="C10" i="13"/>
  <c r="C12" i="18"/>
  <c r="C117" i="8"/>
  <c r="C95" i="15"/>
  <c r="C10" i="12"/>
  <c r="C135" i="8"/>
  <c r="C7" i="10"/>
  <c r="C103" i="8"/>
  <c r="C50" i="8"/>
  <c r="C51" i="8"/>
  <c r="C53" i="8"/>
  <c r="C19" i="9"/>
  <c r="C65" i="9"/>
  <c r="C57" i="9"/>
  <c r="C16" i="9"/>
  <c r="C92" i="9"/>
  <c r="C128" i="8"/>
  <c r="C83" i="3"/>
  <c r="C147" i="3"/>
  <c r="C14" i="9"/>
  <c r="C35" i="14"/>
  <c r="C15" i="13"/>
  <c r="C2" i="5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11" i="3"/>
  <c r="C91" i="3"/>
  <c r="C89" i="3"/>
  <c r="C36" i="14"/>
  <c r="C68" i="2"/>
  <c r="C56" i="13"/>
  <c r="C57" i="13"/>
  <c r="C42" i="13"/>
  <c r="C43" i="10"/>
  <c r="C5" i="1"/>
  <c r="C21" i="13"/>
  <c r="C6" i="12"/>
  <c r="C116" i="3"/>
  <c r="C115" i="3"/>
  <c r="C120" i="3"/>
  <c r="C11" i="18"/>
  <c r="C40" i="15"/>
  <c r="C35" i="12"/>
  <c r="C10" i="14"/>
  <c r="C4" i="14"/>
  <c r="C126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04" i="13"/>
  <c r="C105" i="2"/>
  <c r="C71" i="13"/>
  <c r="C68" i="3"/>
  <c r="C3" i="9"/>
  <c r="C47" i="10"/>
  <c r="C21" i="12"/>
  <c r="C26" i="3"/>
  <c r="C132" i="3"/>
  <c r="C39" i="14"/>
  <c r="C8" i="18"/>
  <c r="C14" i="14"/>
  <c r="C82" i="13"/>
  <c r="C75" i="13"/>
  <c r="C67" i="13"/>
  <c r="C3" i="15"/>
  <c r="C4" i="13"/>
  <c r="C48" i="13"/>
  <c r="C168" i="3"/>
  <c r="C51" i="3"/>
  <c r="C99" i="3"/>
  <c r="C114" i="3"/>
  <c r="C117" i="3"/>
  <c r="C170" i="3"/>
  <c r="C19" i="15"/>
  <c r="C55" i="1"/>
  <c r="C64" i="3"/>
  <c r="C33" i="3"/>
  <c r="C37" i="3"/>
  <c r="C84" i="3"/>
  <c r="C105" i="3"/>
  <c r="C73" i="13"/>
  <c r="C67" i="3"/>
  <c r="C23" i="9"/>
  <c r="C27" i="3"/>
  <c r="C103" i="3"/>
  <c r="C63" i="13"/>
  <c r="C55" i="9"/>
  <c r="C6" i="18"/>
  <c r="C53" i="14"/>
  <c r="C54" i="14"/>
  <c r="C55" i="14"/>
  <c r="C56" i="14"/>
  <c r="C57" i="14"/>
  <c r="C58" i="14"/>
  <c r="C59" i="14"/>
  <c r="C60" i="14"/>
  <c r="C8" i="14"/>
  <c r="C70" i="8"/>
  <c r="C69" i="8"/>
  <c r="C35" i="9"/>
  <c r="C11" i="8"/>
  <c r="C10" i="8"/>
  <c r="C36" i="2"/>
  <c r="C35" i="2"/>
  <c r="C16" i="2"/>
  <c r="C106" i="13"/>
  <c r="C44" i="13"/>
  <c r="C95" i="13"/>
  <c r="C59" i="13"/>
  <c r="C20" i="14"/>
  <c r="C47" i="13"/>
  <c r="C55" i="10"/>
  <c r="C123" i="8"/>
  <c r="C121" i="8"/>
  <c r="C122" i="8"/>
  <c r="C85" i="3"/>
  <c r="C8" i="12"/>
  <c r="C43" i="12"/>
  <c r="C46" i="10"/>
  <c r="C75" i="10"/>
  <c r="C94" i="2"/>
  <c r="C15" i="9"/>
  <c r="C4" i="15"/>
  <c r="C36" i="15"/>
  <c r="C35" i="15"/>
  <c r="C34" i="15"/>
  <c r="C14" i="15"/>
  <c r="C19" i="3"/>
  <c r="C91" i="9"/>
  <c r="C19" i="14"/>
  <c r="C40" i="12"/>
  <c r="C83" i="13"/>
  <c r="C74" i="13"/>
  <c r="C70" i="13"/>
  <c r="C77" i="13"/>
  <c r="C122" i="13"/>
  <c r="C69" i="13"/>
  <c r="C132" i="13"/>
  <c r="C84" i="13"/>
  <c r="C24" i="13"/>
  <c r="C133" i="13"/>
  <c r="C134" i="13"/>
  <c r="C135" i="13"/>
  <c r="C136" i="13"/>
  <c r="C137" i="13"/>
  <c r="C138" i="13"/>
  <c r="C62" i="13"/>
  <c r="C121" i="13"/>
  <c r="C118" i="13"/>
  <c r="C120" i="13"/>
  <c r="C8" i="5"/>
  <c r="C3" i="5"/>
  <c r="C18" i="3"/>
  <c r="C139" i="3"/>
  <c r="C93" i="3"/>
  <c r="C62" i="3"/>
  <c r="C2" i="3"/>
  <c r="C8" i="13"/>
  <c r="C17" i="8"/>
  <c r="C19" i="8"/>
  <c r="C16" i="8"/>
  <c r="C82" i="8"/>
  <c r="C57" i="8"/>
  <c r="C58" i="13"/>
  <c r="C81" i="13"/>
  <c r="C88" i="13"/>
  <c r="C119" i="13"/>
  <c r="C16" i="13"/>
  <c r="C72" i="2"/>
  <c r="C73" i="2"/>
  <c r="C75" i="2"/>
  <c r="C8" i="15"/>
  <c r="C121" i="3"/>
  <c r="C123" i="3"/>
  <c r="C12" i="12"/>
  <c r="C11" i="12"/>
  <c r="C62" i="10"/>
  <c r="C21" i="9"/>
  <c r="C87" i="2"/>
  <c r="C90" i="2"/>
  <c r="C104" i="2"/>
  <c r="C40" i="18"/>
  <c r="C25" i="14"/>
  <c r="C41" i="15"/>
  <c r="C80" i="15"/>
  <c r="C108" i="8"/>
  <c r="C106" i="8"/>
  <c r="C104" i="8"/>
  <c r="C109" i="8"/>
  <c r="C110" i="8"/>
  <c r="C112" i="8"/>
  <c r="C72" i="3"/>
  <c r="C34" i="14"/>
  <c r="C48" i="14"/>
  <c r="C37" i="14"/>
  <c r="C41" i="14"/>
  <c r="C14" i="12"/>
  <c r="C110" i="3"/>
  <c r="C28" i="13"/>
  <c r="C29" i="13"/>
  <c r="C99" i="8"/>
  <c r="C100" i="8"/>
  <c r="C98" i="8"/>
  <c r="C7" i="2"/>
  <c r="C5" i="2"/>
  <c r="C6" i="2"/>
  <c r="C115" i="8"/>
  <c r="C114" i="8"/>
  <c r="C38" i="8"/>
  <c r="C71" i="8"/>
  <c r="C78" i="13"/>
  <c r="C79" i="13"/>
  <c r="C80" i="13"/>
  <c r="C72" i="13"/>
  <c r="C76" i="13"/>
  <c r="C165" i="3"/>
  <c r="C37" i="8"/>
  <c r="C101" i="8"/>
  <c r="C137" i="8"/>
  <c r="C132" i="8"/>
  <c r="C20" i="18"/>
  <c r="C32" i="10"/>
  <c r="C34" i="8"/>
  <c r="C36" i="8"/>
  <c r="C16" i="11"/>
  <c r="C14" i="11"/>
  <c r="C15" i="11"/>
  <c r="C98" i="13"/>
  <c r="C141" i="3"/>
  <c r="C137" i="3"/>
  <c r="C140" i="3"/>
  <c r="C119" i="3"/>
  <c r="C125" i="3"/>
  <c r="C69" i="3"/>
  <c r="C17" i="3"/>
  <c r="C96" i="8"/>
  <c r="C97" i="8"/>
  <c r="C95" i="8"/>
  <c r="C40" i="2"/>
  <c r="C53" i="9"/>
  <c r="C87" i="9"/>
  <c r="C29" i="12"/>
  <c r="C81" i="2"/>
  <c r="C80" i="2"/>
  <c r="C50" i="2"/>
  <c r="C62" i="2"/>
  <c r="C63" i="2"/>
  <c r="C61" i="2"/>
  <c r="C8" i="2"/>
  <c r="C74" i="2"/>
  <c r="C85" i="2"/>
  <c r="C86" i="2"/>
  <c r="C69" i="2"/>
  <c r="C25" i="2"/>
  <c r="C60" i="2"/>
  <c r="C59" i="2"/>
  <c r="C31" i="2"/>
  <c r="C32" i="2"/>
  <c r="C33" i="2"/>
  <c r="C14" i="2"/>
  <c r="C13" i="2"/>
  <c r="C38" i="2"/>
  <c r="C37" i="2"/>
  <c r="C88" i="2"/>
  <c r="C89" i="2"/>
  <c r="C120" i="8"/>
  <c r="C54" i="8"/>
  <c r="C55" i="8"/>
  <c r="C18" i="13"/>
  <c r="C26" i="1"/>
  <c r="C25" i="1"/>
  <c r="C16" i="1"/>
  <c r="C59" i="1"/>
  <c r="C3" i="1"/>
  <c r="C46" i="1"/>
  <c r="C18" i="1"/>
  <c r="C57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52" i="13"/>
  <c r="C100" i="13"/>
  <c r="C99" i="13"/>
  <c r="C101" i="13"/>
  <c r="C90" i="13"/>
  <c r="C64" i="13"/>
  <c r="C60" i="13"/>
  <c r="C111" i="13"/>
  <c r="C112" i="13"/>
  <c r="C123" i="13"/>
  <c r="C124" i="13"/>
  <c r="C113" i="13"/>
  <c r="C125" i="13"/>
  <c r="C114" i="13"/>
  <c r="C53" i="13"/>
  <c r="C126" i="13"/>
  <c r="C127" i="13"/>
  <c r="C128" i="13"/>
  <c r="C45" i="13"/>
  <c r="C91" i="13"/>
  <c r="C92" i="13"/>
  <c r="C93" i="13"/>
  <c r="C94" i="13"/>
  <c r="C110" i="13"/>
  <c r="C107" i="13"/>
  <c r="C108" i="13"/>
  <c r="C109" i="13"/>
  <c r="C34" i="13"/>
  <c r="C3" i="13"/>
  <c r="C116" i="13"/>
  <c r="C96" i="13"/>
  <c r="C97" i="13"/>
  <c r="C31" i="13"/>
  <c r="C30" i="13"/>
  <c r="C102" i="13"/>
  <c r="C103" i="13"/>
  <c r="C115" i="13"/>
  <c r="C129" i="13"/>
  <c r="C130" i="13"/>
  <c r="C131" i="13"/>
  <c r="C46" i="13"/>
  <c r="C49" i="13"/>
  <c r="C66" i="13"/>
  <c r="C85" i="13"/>
  <c r="C86" i="13"/>
  <c r="C68" i="13"/>
  <c r="C105" i="13"/>
  <c r="C89" i="13"/>
  <c r="C30" i="14"/>
  <c r="C76" i="8"/>
  <c r="C77" i="8"/>
  <c r="C74" i="8"/>
  <c r="C130" i="8"/>
  <c r="C131" i="8"/>
  <c r="C133" i="8"/>
  <c r="C2" i="8"/>
  <c r="C3" i="8"/>
  <c r="C5" i="8"/>
  <c r="C129" i="3"/>
  <c r="C100" i="3"/>
  <c r="C28" i="3"/>
  <c r="C13" i="3"/>
  <c r="C163" i="3"/>
  <c r="C156" i="3"/>
  <c r="C11" i="3"/>
  <c r="C109" i="3"/>
  <c r="C28" i="2"/>
  <c r="C97" i="2"/>
  <c r="C92" i="2"/>
  <c r="C78" i="2"/>
  <c r="C21" i="2"/>
  <c r="C9" i="2"/>
  <c r="C101" i="2"/>
  <c r="C102" i="2"/>
  <c r="C76" i="2"/>
  <c r="C16" i="15"/>
  <c r="C20" i="15"/>
  <c r="C44" i="15"/>
  <c r="C55" i="15"/>
  <c r="C66" i="15"/>
  <c r="C67" i="15"/>
  <c r="C68" i="15"/>
  <c r="C69" i="15"/>
  <c r="C70" i="15"/>
  <c r="C71" i="15"/>
  <c r="C72" i="15"/>
  <c r="C73" i="15"/>
  <c r="C74" i="15"/>
  <c r="C75" i="15"/>
  <c r="C77" i="15"/>
  <c r="C87" i="15"/>
  <c r="C108" i="15"/>
  <c r="C110" i="15"/>
  <c r="C31" i="9"/>
  <c r="C33" i="9"/>
  <c r="C34" i="9"/>
  <c r="C66" i="9"/>
  <c r="C67" i="9"/>
  <c r="C68" i="9"/>
  <c r="C69" i="9"/>
  <c r="C70" i="9"/>
  <c r="C71" i="9"/>
  <c r="C36" i="9"/>
  <c r="C73" i="9"/>
  <c r="C74" i="9"/>
  <c r="C75" i="9"/>
  <c r="C26" i="9"/>
  <c r="C7" i="9"/>
  <c r="C11" i="11"/>
  <c r="C19" i="11"/>
  <c r="C21" i="11"/>
  <c r="C20" i="11"/>
  <c r="C22" i="11"/>
  <c r="C24" i="11"/>
  <c r="C29" i="10"/>
  <c r="C42" i="10"/>
  <c r="C27" i="18"/>
  <c r="C50" i="3"/>
  <c r="C160" i="3"/>
  <c r="C144" i="3"/>
  <c r="C77" i="3"/>
  <c r="C76" i="3"/>
  <c r="C82" i="3"/>
  <c r="C108" i="3"/>
  <c r="C154" i="3"/>
  <c r="C155" i="3"/>
  <c r="C74" i="3"/>
  <c r="C50" i="13"/>
  <c r="C51" i="13"/>
  <c r="C117" i="13"/>
  <c r="C2" i="15"/>
  <c r="C27" i="12"/>
  <c r="C15" i="12"/>
  <c r="C45" i="12"/>
  <c r="C26" i="12"/>
  <c r="C25" i="12"/>
  <c r="C19" i="12"/>
  <c r="C3" i="12"/>
  <c r="C22" i="12"/>
  <c r="C33" i="12"/>
  <c r="C37" i="12"/>
  <c r="C18" i="12"/>
  <c r="C32" i="12"/>
  <c r="C4" i="12"/>
  <c r="C46" i="12"/>
  <c r="C91" i="8"/>
  <c r="C111" i="8"/>
  <c r="C43" i="8"/>
  <c r="C73" i="8"/>
  <c r="C51" i="14"/>
  <c r="C40" i="14"/>
  <c r="C38" i="14"/>
  <c r="C42" i="14"/>
  <c r="C2" i="14"/>
  <c r="C44" i="14"/>
  <c r="C35" i="8"/>
  <c r="C61" i="8"/>
  <c r="C65" i="8"/>
  <c r="C66" i="8"/>
  <c r="C56" i="8"/>
  <c r="C52" i="8"/>
  <c r="C14" i="8"/>
  <c r="C80" i="8"/>
  <c r="C58" i="8"/>
  <c r="C68" i="8"/>
  <c r="C145" i="3"/>
  <c r="C102" i="3"/>
  <c r="C126" i="3"/>
  <c r="C142" i="3"/>
  <c r="C86" i="3"/>
  <c r="C122" i="3"/>
  <c r="C162" i="3"/>
  <c r="C75" i="3"/>
  <c r="C146" i="3"/>
  <c r="C164" i="3"/>
  <c r="C153" i="3"/>
  <c r="C73" i="3"/>
  <c r="C98" i="3"/>
  <c r="C134" i="3"/>
  <c r="C149" i="3"/>
  <c r="C151" i="3"/>
  <c r="C161" i="3"/>
  <c r="C75" i="8"/>
  <c r="C4" i="8"/>
  <c r="C18" i="8"/>
  <c r="C124" i="3"/>
  <c r="C148" i="3"/>
  <c r="C33" i="14"/>
  <c r="C128" i="3"/>
  <c r="C101" i="3"/>
  <c r="C118" i="3"/>
  <c r="C138" i="3"/>
  <c r="C136" i="3"/>
  <c r="C106" i="3"/>
  <c r="C44" i="12" l="1"/>
  <c r="C30" i="12"/>
  <c r="C158" i="3"/>
  <c r="C107" i="3"/>
  <c r="C94" i="3"/>
  <c r="C95" i="3"/>
  <c r="C96" i="3"/>
  <c r="C118" i="8"/>
  <c r="C92" i="8"/>
  <c r="C116" i="8"/>
  <c r="C72" i="8" l="1"/>
  <c r="C87" i="8"/>
  <c r="C86" i="8"/>
  <c r="C113" i="8"/>
  <c r="C129" i="8"/>
  <c r="C41" i="12"/>
  <c r="C42" i="12"/>
  <c r="C24" i="12"/>
  <c r="C20" i="12"/>
  <c r="C45" i="14"/>
  <c r="C52" i="14"/>
  <c r="C11" i="14"/>
  <c r="C50" i="14"/>
  <c r="C16" i="14"/>
  <c r="C46" i="14"/>
  <c r="C29" i="14"/>
  <c r="C21" i="14"/>
  <c r="C5" i="5"/>
  <c r="C6" i="5"/>
  <c r="C21" i="5"/>
  <c r="C13" i="5"/>
  <c r="C20" i="5"/>
  <c r="C16" i="5"/>
  <c r="C15" i="5"/>
  <c r="C14" i="5"/>
  <c r="C152" i="3"/>
  <c r="C150" i="3"/>
  <c r="C35" i="3"/>
  <c r="C61" i="3"/>
  <c r="C159" i="3"/>
  <c r="C80" i="3"/>
  <c r="C38" i="3"/>
  <c r="C57" i="3"/>
  <c r="C79" i="3"/>
  <c r="C78" i="3"/>
  <c r="C104" i="3"/>
  <c r="C112" i="3"/>
  <c r="C39" i="3"/>
  <c r="C135" i="3"/>
  <c r="C131" i="3"/>
  <c r="C166" i="3"/>
  <c r="C167" i="3"/>
  <c r="C143" i="3"/>
  <c r="C130" i="3"/>
  <c r="C133" i="3"/>
  <c r="C70" i="3"/>
  <c r="C21" i="18"/>
  <c r="C39" i="18"/>
  <c r="C29" i="18"/>
  <c r="C3" i="18"/>
  <c r="C127" i="3" l="1"/>
  <c r="C157" i="3"/>
  <c r="C113" i="3"/>
  <c r="C43" i="14" l="1"/>
  <c r="C47" i="14"/>
  <c r="C3" i="14"/>
  <c r="C49" i="14"/>
  <c r="C38" i="12"/>
  <c r="C23" i="12"/>
  <c r="C39" i="12"/>
  <c r="C5" i="12"/>
  <c r="C36" i="12"/>
  <c r="C12" i="5"/>
  <c r="C22" i="5"/>
  <c r="C23" i="5"/>
  <c r="C24" i="5"/>
  <c r="C25" i="5"/>
  <c r="C26" i="5"/>
  <c r="C27" i="5"/>
  <c r="C28" i="5"/>
</calcChain>
</file>

<file path=xl/sharedStrings.xml><?xml version="1.0" encoding="utf-8"?>
<sst xmlns="http://schemas.openxmlformats.org/spreadsheetml/2006/main" count="1540" uniqueCount="1432">
  <si>
    <t>PRODUCTO</t>
  </si>
  <si>
    <t>PRECIO SUGERIDO</t>
  </si>
  <si>
    <t>PRECIO FINAL</t>
  </si>
  <si>
    <t>SNACK MELTAIM INTEGRAL VEGANO OLIVA/OREG</t>
  </si>
  <si>
    <t>SNACK MELTAIM INTEGRAL VEGANO QUESO/FINA HIERBAS</t>
  </si>
  <si>
    <t>SNACK MELTAIM INTEGRAL VEGANO QUESO/CREMA/CEBOLL</t>
  </si>
  <si>
    <t>SNACKS DELUXE  MAIZ CHEDDAR</t>
  </si>
  <si>
    <t>COSTO UNIT</t>
  </si>
  <si>
    <t>INFUSORES CORAZON CERAMICA</t>
  </si>
  <si>
    <t xml:space="preserve">PRODUCTO </t>
  </si>
  <si>
    <t>COSTO UNITARIO</t>
  </si>
  <si>
    <t xml:space="preserve">PRODUCTOS </t>
  </si>
  <si>
    <t xml:space="preserve">COSTO UNITARIO </t>
  </si>
  <si>
    <t>PRECIO TOTAL</t>
  </si>
  <si>
    <t xml:space="preserve">PRECIO SUGERIDO </t>
  </si>
  <si>
    <t>YERBA FRONTERAS LATA X 500 GRS</t>
  </si>
  <si>
    <t>MOLINILLO JULIANA LOPEZ MAY  DULCE</t>
  </si>
  <si>
    <t>MOLINILLO JULIANA LOPEZ MAY MEDITERRANEO</t>
  </si>
  <si>
    <t>MOLINILLO 1854 PIMIENTA</t>
  </si>
  <si>
    <t>MOLINILLO  1854 MIX RUSTICO</t>
  </si>
  <si>
    <t xml:space="preserve">MOLINILLO SAL MARINA </t>
  </si>
  <si>
    <t xml:space="preserve">MOLINILLO AMAPOLAS </t>
  </si>
  <si>
    <t>MOLINILLO JULIANA LOPEZ MAY</t>
  </si>
  <si>
    <t>MOLINILLO MERKEN</t>
  </si>
  <si>
    <t xml:space="preserve">MOLINILLO ENELDO </t>
  </si>
  <si>
    <t>MOLINILLO VARIOS</t>
  </si>
  <si>
    <t>1500 EL JUEGO</t>
  </si>
  <si>
    <t>SAL HIMALAYA ROSA FINA/GRUESA FRASCO</t>
  </si>
  <si>
    <t>SAL MARINA FRASCO</t>
  </si>
  <si>
    <t>Columna1</t>
  </si>
  <si>
    <t>Columna2</t>
  </si>
  <si>
    <t>Columna3</t>
  </si>
  <si>
    <t>KILO</t>
  </si>
  <si>
    <t xml:space="preserve">SNACK DELUXE JAMON SERRANO </t>
  </si>
  <si>
    <t xml:space="preserve">TAZA SOLA  </t>
  </si>
  <si>
    <t>X KG</t>
  </si>
  <si>
    <t>YERBA FRONTERAS PACK 500 GR VARIOS GUSTOS</t>
  </si>
  <si>
    <t>YERBA FRONTERA LATITA 110 GR</t>
  </si>
  <si>
    <t>SET CAJA TAZA INFUSOR MAS TE</t>
  </si>
  <si>
    <t>YERBA FRONTERAS MIX  VARIOS GUSTOS X 250 GRS NOV</t>
  </si>
  <si>
    <t>YERBA FRONTERAS   mix 6 sobres X 45 GRS C/U</t>
  </si>
  <si>
    <t>YERBA FRONTERAS LATITAS 110 GR</t>
  </si>
  <si>
    <t>YERBA FRONTERAS X 500GR VARIOS GUSTOS</t>
  </si>
  <si>
    <t>KG COSTO</t>
  </si>
  <si>
    <t>SNACKS GALLO CRACKEADAS 100 GR</t>
  </si>
  <si>
    <t>TE HEREDIA MANZANILLA</t>
  </si>
  <si>
    <t>TE HEREDIA JENGIBRE</t>
  </si>
  <si>
    <t>TE HEREDIA VERDE CON LIMON Y NARANJA</t>
  </si>
  <si>
    <t xml:space="preserve">TE HEREDIA VERDE </t>
  </si>
  <si>
    <t>RUNNER POR 1 KG</t>
  </si>
  <si>
    <t>RUNNER SIN PIEL X 1KG</t>
  </si>
  <si>
    <t>PRECIO X KILO COSTO</t>
  </si>
  <si>
    <t>YERBA CANARIAS</t>
  </si>
  <si>
    <t>PREMEZCLA PARA FAINA NATURAL POP 210 GR SIN TACC</t>
  </si>
  <si>
    <t>NO STRESS 60 COMP. 450MG</t>
  </si>
  <si>
    <t>TE HEBRAS MANZANILLA X 80 GRS OASIS</t>
  </si>
  <si>
    <t>TE HEBRAS MARCELA  X 70 GRS OASIS</t>
  </si>
  <si>
    <t>TE HEBRAS CEDRON 80 GR OASIS</t>
  </si>
  <si>
    <t>CHIPS DE PAPA/BATATA BOUTIQUE 65 GR</t>
  </si>
  <si>
    <t>ESPECIES SURTIDAS 50 GR</t>
  </si>
  <si>
    <t>YERBA ARAI AHUMADA /INTERMEDIA- 900 DIAS (BOLSA)</t>
  </si>
  <si>
    <t>YERBA ARAI ESPECIAL-URUGUAYA-BARBACUA-AHUMADA (CAJA)</t>
  </si>
  <si>
    <t>DELICEL REBOZADOR SIN TACC 500GRS</t>
  </si>
  <si>
    <t>JABON SOLIDO</t>
  </si>
  <si>
    <t>HARINA SESAMO INTEGRAL 250 GR</t>
  </si>
  <si>
    <t>HARINA SESAMO INTEGRAL 500 GR</t>
  </si>
  <si>
    <t>HARINA SESAMO INTEGRAL 1KG</t>
  </si>
  <si>
    <t>YERBA TYGA CON MORINGA X 500 GRS</t>
  </si>
  <si>
    <t>SOLIMENO ARANDANOS CONGELADOS SIN TACC 500 GR 5 ENERO</t>
  </si>
  <si>
    <t>SOLIMENO FRUTOS ROJOS CONGELADOS SIN TACC  500 GR 5 ENERO</t>
  </si>
  <si>
    <t xml:space="preserve"> CANELA 100GR</t>
  </si>
  <si>
    <t>BOTANICO BOX MATE /TE X 6 2023</t>
  </si>
  <si>
    <t>BOTANICO RUEDITAS  MATE/TE 2023</t>
  </si>
  <si>
    <t>BOTANICO RUEDITAS GIN TONIC 2023</t>
  </si>
  <si>
    <t xml:space="preserve">EL BOTICARIO BOTANICOS RUEDITAS TODAS </t>
  </si>
  <si>
    <t>EL BOTICARIO BOTANICOS RECTANGULAR SERENIDAD 10 ENERO</t>
  </si>
  <si>
    <t>EL BOTICARIO BOTANICOS RECTANGULAR ARMONIA 10 ENERO</t>
  </si>
  <si>
    <t>EL BOTICARIO BOTANICOS RECTANGULAR BOX 6 10 ENERO</t>
  </si>
  <si>
    <t>EL BOTICARIO BOTANICOS RECTANGULAR LITORAL MATE Y TERERE 10 ENERO</t>
  </si>
  <si>
    <t>EL BOTICARIO BOTANICOS RECTANGULAR LIBRITO BOX 12 10 ENERO</t>
  </si>
  <si>
    <t>CELIEXPRESS PASTAFROLA MEMBRILLO 13 ENERO</t>
  </si>
  <si>
    <t>VITAMINA C 60 COMPRIMIDOS 17 ENERO</t>
  </si>
  <si>
    <t>XYLITOL NUEVOS ALIMENTOS 150GR 20 ENERO</t>
  </si>
  <si>
    <t>ALMENDRAS RAMILLADAS X 1 KG 20 ENERO</t>
  </si>
  <si>
    <t>ALMENDRAS RAMILLADAS X 500 GR 20 ENERO</t>
  </si>
  <si>
    <t>BOUTIQUE CHIPS DE PAPA CON SAL MARINA 20 ENERO</t>
  </si>
  <si>
    <t>YERBA LAPACHO ROSA 30 ENERO</t>
  </si>
  <si>
    <t>YERBA FIDEL</t>
  </si>
  <si>
    <t>YERBA ARANDU</t>
  </si>
  <si>
    <t>YERBA DULCE BESO</t>
  </si>
  <si>
    <t xml:space="preserve">YERBA ARAI SUAVE 500G </t>
  </si>
  <si>
    <t>RAVIOLES ALIM YAMANI  MIX CEBOLLA CREMA CAST Y ACEIT X 280 30 ENERO</t>
  </si>
  <si>
    <t>RAVIOLES ALIM YAMANI  TOMATES SECOS SEMILLAS Y ALBAHX 290 30 ENERO</t>
  </si>
  <si>
    <t>TAZA INFUSOR 5 FEBRERO</t>
  </si>
  <si>
    <t>YERBA ARROYO VERDE 500 GR 5 FEBRERO</t>
  </si>
  <si>
    <t>NOT CREAM CHEESE ORIGINAL 210 GR QUESO UNTABLE 7 FEBRERO</t>
  </si>
  <si>
    <t>TE INDIA OASIS 11 FEBRERO</t>
  </si>
  <si>
    <t>TE SPIRULINA CASCARA NARANJA OASIS 11 FEBRERO</t>
  </si>
  <si>
    <t>TE VERDE MARACUYA OASIS 11 FEBRERO</t>
  </si>
  <si>
    <t>VINO SANTA JULIA ORGANICA 19 FEBRERO</t>
  </si>
  <si>
    <t>VINO CECCHIN MALBEC ROSE 19 FEBRERO</t>
  </si>
  <si>
    <t>TOSTADITAS DE ARROZ MOLINOS ALA 100 GR 24 FEBR</t>
  </si>
  <si>
    <t>TE HEREDIA CURCUMA Y JENGIBRE 25 SAQ 26 FEBR</t>
  </si>
  <si>
    <t>TE HEREDIA ROJO 25 SAQUITOS 25 FEBRERO</t>
  </si>
  <si>
    <t>KONY STEVIA EN POLVO POTE 90 GR 29 FEBRERO</t>
  </si>
  <si>
    <t>ACEITUNA LA TOSCANA X 330 2 MARZO</t>
  </si>
  <si>
    <t>GOD BLESS ACEITE DE COCO 125 ML 2 MARZO</t>
  </si>
  <si>
    <t>POLENTA ORGANICA X 500 GRS 10 MARZO</t>
  </si>
  <si>
    <t>SHAMPOO SOLIDO 1O MARZO</t>
  </si>
  <si>
    <t>TE VERDE OASIS 11 MARZO</t>
  </si>
  <si>
    <t>TE TILO OASIS 11 MARZO</t>
  </si>
  <si>
    <t xml:space="preserve">SHAMPOO SOLIDO LOW POO 13 MARZO </t>
  </si>
  <si>
    <t>TE PIPER POL JENGIBRE 20 marzo</t>
  </si>
  <si>
    <t>TE PIPERPOL CEDRON 25 SAQUITOS 2o marzo</t>
  </si>
  <si>
    <t>TE PIPERPOL DIGESTIVO 20 marzo</t>
  </si>
  <si>
    <t>TE PIPERPOL DIURETICO 20 marzo</t>
  </si>
  <si>
    <t>TE PIPERPOL REDUCTOR COLESTEROL 25 SAQUITOS 20 marzo</t>
  </si>
  <si>
    <t>TE PIPERPOL REDUCTORA 25 SAQUITOS 20 marzo</t>
  </si>
  <si>
    <t>QUINOA TRICOLOR X 250 GR 20 MARZO</t>
  </si>
  <si>
    <t>QUINOA TRICOLOR X 500 GR 20 MARZO</t>
  </si>
  <si>
    <t>FIDEOS ITALIKA  SIN TACC FUSSILES/MULTI VEGETALES X 250 G 25 MARZO</t>
  </si>
  <si>
    <t>AZAFRAN PASTILLA POR UNIDAD 25 MARZO</t>
  </si>
  <si>
    <t>FELICES YOGURT COLCHON VARIOS GUSTOS 28 MARZO</t>
  </si>
  <si>
    <t>ACEITE DE OLIVA COLINA DEL REY 28 MARZO</t>
  </si>
  <si>
    <t>GOD BLESS ACEITE DE COCO VIRGEN 125 ML 29 MARZO</t>
  </si>
  <si>
    <t>BASTONI NUEZ AVENA Y SESAMO 2 ABRIL</t>
  </si>
  <si>
    <t>BASTONI LIMON JENGIBRE Y AVENA  2 ABRIL</t>
  </si>
  <si>
    <t>MARROC CACHAFAZ CAJA X 54 UNID 2 ABRIL</t>
  </si>
  <si>
    <t>ALMOHADITAS DE SALVADO X 1 KG 15 ABRIL</t>
  </si>
  <si>
    <t>ALMOHADITAS DE SALVADO X 250 GR 15 ABRIL</t>
  </si>
  <si>
    <t>ALMOHADITAS DE SALVADO X 500 GR 15 ABRIL</t>
  </si>
  <si>
    <t>ALMOHADITAS DE SALVADO X 80 GR 15 ABRIL</t>
  </si>
  <si>
    <t>ALMOHADITAS DELICEL FRUTILLA 240 GR 15 ABRIL</t>
  </si>
  <si>
    <t>ALMOHADITAS SNUKS 240GR 15 ABRIL</t>
  </si>
  <si>
    <t>FIDEOS DOÑA DOMINGA INTEGRALES CLASICO 20 ABRIL</t>
  </si>
  <si>
    <t>FIDEOS DOÑA DOMINGA INTEGRALES ESPINACA/KALE/TOMATE/REMOLACHA 20 ABRIL</t>
  </si>
  <si>
    <t>KOS FOOD GRANOLA BERRIES ,LIVE,TRAD.X 1 KG 20 ABRIL</t>
  </si>
  <si>
    <t>ACEITE ROSA MOSQUETA 30 CC 20 ABRIL</t>
  </si>
  <si>
    <t>COLAGOGO PIPERPOL 70GR 20 ABRIL</t>
  </si>
  <si>
    <t>CREMA DE ORDEÑE ALOE VERA OASIS 20 ABRIL</t>
  </si>
  <si>
    <t>HISOPOS DE BAMBU X 100 UNID 20 ABRIL</t>
  </si>
  <si>
    <t>LECICHIA OASIS 60 COMPRIMIDOS 20 ABRIL</t>
  </si>
  <si>
    <t>SHIVA CRACKERS CARBON VEGETAL 20 ABRIL</t>
  </si>
  <si>
    <t>NUTREE MEDALLONES TODOS 21 ABRIL</t>
  </si>
  <si>
    <t>NOT CHEESE MUZZA X 250GR 21 ABRIL</t>
  </si>
  <si>
    <t>LENTEJON X 1 KG 25 ABRIL</t>
  </si>
  <si>
    <t>LENTEJON X 250 GRS 25 ABRIL</t>
  </si>
  <si>
    <t>LENTEJON X 500 GR 25 ABRIL</t>
  </si>
  <si>
    <t>YERBA BUENAS Y SANTAS 25 ABRIL</t>
  </si>
  <si>
    <t>JUGO ALOE VERA JUAL NATURAL X 250 ML 25 ABRIL</t>
  </si>
  <si>
    <t>TOSTADAS MOLINOS ALA CLASICAS 25 ABRIL</t>
  </si>
  <si>
    <t>VITAMINA C Y LISINA LISINC BLISTER X 10 CAPSULAS 27 ABRIL</t>
  </si>
  <si>
    <t>LUPINES X 130 GR 27 ABRIL</t>
  </si>
  <si>
    <t>LUPINES X 250 GR 27 ABRIL</t>
  </si>
  <si>
    <t>TE TARAGUI FRUTAS ROJAS 27 ABRIL</t>
  </si>
  <si>
    <t>MERMELADA EL BROCAL  FRUTILLA LIGH 29 ABRIL</t>
  </si>
  <si>
    <t>YERBA OASIS ARANDANOS 10 MAYO</t>
  </si>
  <si>
    <t>MAGNESIO VITA TECH X 30 COMP. 10 MAO</t>
  </si>
  <si>
    <t>PASTA DE MANI ODDIS 10 MAYO</t>
  </si>
  <si>
    <t>GOD BLESS YOU ACEITE DE COCO 225ML 10 MAYO</t>
  </si>
  <si>
    <t>FELICES MUZZARELLA X 500GR 10 MAYO</t>
  </si>
  <si>
    <t>YOGUR ALLYGURT TODOS 10 MAYO</t>
  </si>
  <si>
    <t>MUNDO VEGETAL MILANESAS DE SOJA ESPINACA/CALABAZA 11 MAYO</t>
  </si>
  <si>
    <t>CAFÉ FRIO LATA DESEADO BREWING 11 MAYO</t>
  </si>
  <si>
    <t>TERRA ALQUIMISTA OLEO HIDRATANTE FLORAL 50 ML 20 MAYO</t>
  </si>
  <si>
    <t>TERRA ALQUIMISTA XAMPU SOLIDO 70 GR 20 MAYO</t>
  </si>
  <si>
    <t>TERRA ALQUIMISTA COPAIBA 10 ML 20 MAYO</t>
  </si>
  <si>
    <t>TERRA ALQUIMISTA MANTECA CUPUACU 30 GR 20 MAYO</t>
  </si>
  <si>
    <t>TERRA ALQUIMISTA DESODORANTE CREMOSO 20 GR 20 MAYO</t>
  </si>
  <si>
    <t>SEMILLAS LINO COMUN Y DORADO 1 KG 20 MAYO</t>
  </si>
  <si>
    <t>SEMILLAS LINO COMUN Y DORADO 500 GR 20 MAYO</t>
  </si>
  <si>
    <t>SEMILLAS LINO COMUN Y DORADO X 250 GR 20 MAYO</t>
  </si>
  <si>
    <t>ARVEJA TEXTURIZADA X 1 KG 20 MAYO</t>
  </si>
  <si>
    <t>ARVEJA TEXTURIZADA X 500 GR 20 MAYO</t>
  </si>
  <si>
    <t>ARVEJA TEXTURIZADA X 250 GR 20 MAYO</t>
  </si>
  <si>
    <t>TOFU SOYARROZ TRADICIONAL  20 MAYO</t>
  </si>
  <si>
    <t>FIDEOS CERAL MORRON/ESPINACA 20 MAYO</t>
  </si>
  <si>
    <t>COLAGENO MAS VITAMINA E  MODELIFE BLISTER X 10 CAPSULAS 27 ABRIL</t>
  </si>
  <si>
    <t>KOS FOOD GRANOLA BERRIES,LIVE ,TRAD. X 250 GR 25 MAYO</t>
  </si>
  <si>
    <t xml:space="preserve">ARROZ NEGRO X 500 GR 25 MAYO </t>
  </si>
  <si>
    <t>ARROZ NEGRO X 250 GR 25 MAYO</t>
  </si>
  <si>
    <t>HARINA DE GARBANZO NAMASTE X 1 KG 25 MAYO</t>
  </si>
  <si>
    <t>HARINA DE GARBANZO NAMASTE X 500 GR 25 MAYO</t>
  </si>
  <si>
    <t>REBOZADOR COMUN NAMASTE X 400 GR 25 MAYO</t>
  </si>
  <si>
    <t>REBOZADOR COMUN NAMASTE X 800 GR 25 MAYO</t>
  </si>
  <si>
    <t>BARRA CHOCO CANDY MILK CON CEREAL 10 JUNIO</t>
  </si>
  <si>
    <t>BARRA CHOCO CANDY MILK CON ALMENDRAS X 100 GR 10 JUNIO</t>
  </si>
  <si>
    <t>PIPER POL STEVIA LIQUIDA X 100 CC 10 JUNIO</t>
  </si>
  <si>
    <t>CARAMELOS PROPOLEO / MIEL JENGIBRE C/U 18 JUNIO</t>
  </si>
  <si>
    <t>8000 KG</t>
  </si>
  <si>
    <t>SHIVA CRACKERS PIMENTON AHUMADO X 100 G 20 JUNIO</t>
  </si>
  <si>
    <t>MIEL KINTURRAY LIQUIDA Y SOLIDA 500 GR VIDRIO 20 JUNIO</t>
  </si>
  <si>
    <t>YUYOS SALVIA OFFICIALIS X 30 GR 25 JUNIO</t>
  </si>
  <si>
    <t>ALMADRE SESAMO / RAWMESAN/TOMATE 2 JULIO</t>
  </si>
  <si>
    <t>ALMADRE SNACK SESAMO Y SAL MARINA X 130 GR 2 JULIO</t>
  </si>
  <si>
    <t>ALMADRE THINS TOMATE Y ROMERO SNACK X 130 GR 2 JULIO</t>
  </si>
  <si>
    <t>PAPAS  NUESTROS SABORES  CHIPS REMOLACHA 2 JULIO</t>
  </si>
  <si>
    <t>PAPAS NUESTROS SABORES PIMIENTA 2 JULIO</t>
  </si>
  <si>
    <t>TE SAINT GOTTARD ADELGAFRUTA FDELBOSQUE 2 JULIO</t>
  </si>
  <si>
    <t>TE SAINT GOTTARD YOGA ZEN 2 JULIO</t>
  </si>
  <si>
    <t>BEEPURE MERMELADA ARANDANOS 270 GR 2 JULIO</t>
  </si>
  <si>
    <t>BEEPURE MERMELADA FRUTILLA 270 GR 2 JULIO</t>
  </si>
  <si>
    <t>BEEPURE MERMELADA FRUTOS DEL BOSQUE 270 GR 2 JULIO</t>
  </si>
  <si>
    <t>BASTONI PARMESANO Y AMAPOLA 2 JULIO</t>
  </si>
  <si>
    <t>GOMA XANTICA PROCAL X 50GRS 20JULIO</t>
  </si>
  <si>
    <t>ZZZZZ</t>
  </si>
  <si>
    <t>MIJO X 1 KG 10 JULIO</t>
  </si>
  <si>
    <t>MIJO X 500 GR 10 JULIO</t>
  </si>
  <si>
    <t>MIJO X 250 GR 10 JULIO</t>
  </si>
  <si>
    <t xml:space="preserve">MANI CRUDO CON PIEL 1 KG </t>
  </si>
  <si>
    <t xml:space="preserve">MANI CRUDO CON PIEL 500 GR </t>
  </si>
  <si>
    <t>MANI CRUDO SIN PIEL 1 KG 10 JULIO</t>
  </si>
  <si>
    <t>MANI CRUDO SIN PIEL 500 GR 10 JULIO</t>
  </si>
  <si>
    <t>ARROZ CARNAROLI X 250 GR 10 JULIO</t>
  </si>
  <si>
    <t>ARROZ CARNAROLI X 500 GR 10 JULIO</t>
  </si>
  <si>
    <t>ARROZ CARNAROLI X 1KG 10 JULIO</t>
  </si>
  <si>
    <t>SNACKS DE ARROZ CHEDDAR DON MARCOS 10 JULIO</t>
  </si>
  <si>
    <t>SNACKS CRISPPINO CIBOULETTE 50 GR 10 JULIO</t>
  </si>
  <si>
    <t>TE HEREDIA DIGEST 10 JULIO</t>
  </si>
  <si>
    <r>
      <t xml:space="preserve">GALLETITAS </t>
    </r>
    <r>
      <rPr>
        <sz val="11"/>
        <color theme="5" tint="-0.249977111117893"/>
        <rFont val="Calibri"/>
        <family val="2"/>
        <scheme val="minor"/>
      </rPr>
      <t>CACHAFAZ ALGARROBA</t>
    </r>
    <r>
      <rPr>
        <sz val="11"/>
        <rFont val="Calibri"/>
        <family val="2"/>
        <scheme val="minor"/>
      </rPr>
      <t xml:space="preserve"> INTEGRALES 10 JULIO</t>
    </r>
  </si>
  <si>
    <t>YERBA OASIS ORGANICA X500 GRS 20 JULIO</t>
  </si>
  <si>
    <t>TE PIPERPOL DIABETES NUMERO 8 20 JULIO</t>
  </si>
  <si>
    <t>MIX TROPI FLOW X 100 GR 20 JULIO</t>
  </si>
  <si>
    <t>BARRITAS CHOCOLATE CANDY MILK  20 JULIO</t>
  </si>
  <si>
    <t>AZUCAR RUBIA ORGANICA MAMA TERESA 500 GR 20 JULIO</t>
  </si>
  <si>
    <t>CEPILLO DENTAL SRI SRI 20 JULIO</t>
  </si>
  <si>
    <t>POLENTA ORGANICA X 500 GR 20 JULIO</t>
  </si>
  <si>
    <t>TE PIPER POL LAXANTE 20 JULIO</t>
  </si>
  <si>
    <t>TE PIPER POL BOLDO 20 JULIO</t>
  </si>
  <si>
    <t>TE SAINT GOTTARD INVERNAL 20 JULIO</t>
  </si>
  <si>
    <t>TE SAINT GOTTARD CHOCOLATE A LA MENTA 20 JULIO</t>
  </si>
  <si>
    <t>TE SAINT GOTTARD MORINGA 20 JULIO</t>
  </si>
  <si>
    <t>TE SAINT GOTTARD GROSELLA MORA Y ARANDANO 20 JULIO</t>
  </si>
  <si>
    <t>TE SAINT GOTTARD DIGEST 20 JULIO</t>
  </si>
  <si>
    <t>SHIVA MIX DE SEMILLAS X 100 GR 20 JULIO</t>
  </si>
  <si>
    <t>MERMELADA EL  BROCAL FRUTOS ROJOS LIGHT 20 JULIO</t>
  </si>
  <si>
    <t>SALSA DE SOJA GELL SINGH SIN SODIO 180 CC PABLO 20 JULIO</t>
  </si>
  <si>
    <t>SALSA DE SOJA GELL SINGH LIGHT 500 CC PABLO 20 JULIO</t>
  </si>
  <si>
    <t>FRAMBUESAS FRUTAS DEL SUR X 400 GR 20 JULIO</t>
  </si>
  <si>
    <t>FRUTOS DEL BOSQUE FRUTAS DEL SUR X 400 GR 20 JULIO</t>
  </si>
  <si>
    <t>SALSA DE SOJA RECETAS DE ENTONCES X 180 ML 20 JULIO</t>
  </si>
  <si>
    <t>SALSA INGLESA VANOLI 180 ML 20 JULIO</t>
  </si>
  <si>
    <t>TREVER CLASICA STEVIA LIQUIDA X 100 CC 25 JULIO</t>
  </si>
  <si>
    <t>TREVER CLASICA STEVIA LIQUIDA X 200 CC 25 JULIO</t>
  </si>
  <si>
    <t>TREVER STEVIA LIQUIDA SIN SUCRALOSA X 100 CC 25 JULIO</t>
  </si>
  <si>
    <t>TREVER STEVIA EN POLVO 100 SOBRES 25 JULIO</t>
  </si>
  <si>
    <t>YERBA PORONGO ORGANICA X 500 GR 25 JULIO</t>
  </si>
  <si>
    <t>SALSA DE TERIYAKI CON TORRONTES PAMPA GOURMET X 285CC 25 JULIO</t>
  </si>
  <si>
    <t>VINO ESENCIAS MALBEC 25 JULIO</t>
  </si>
  <si>
    <t>VINO CECCHIN MALBEC SIN SULFITOS 25 JULIO</t>
  </si>
  <si>
    <t>VINO CECCHIN MOSCATEL DE ALEJANDRIA (BLANCO DULCE) 25 JULIO</t>
  </si>
  <si>
    <t>VINO ESENCIAS CABERNET SAUVIGNON 25 JULIO</t>
  </si>
  <si>
    <t>LA PASTELERA ALFAJOR DE CHOCOLATE 25 JULIO</t>
  </si>
  <si>
    <t>LA PASTELERA ALFAJOR DE MAIZENA 25 JULIO</t>
  </si>
  <si>
    <t>LA PASTELERA ALFAJOR DE MAIZENA BLISTER X 5 25 JULIO</t>
  </si>
  <si>
    <t>LA PASTELERA ALFAJOR DE CHOCO BLISTER X 5 25 JULIO</t>
  </si>
  <si>
    <t>LA PASTELERA BROWNIE 25 JULIO</t>
  </si>
  <si>
    <t>LA PASTELERA GALLETITAS VAINILLA Y CHOCO BLISTER X 5 25 JULIO</t>
  </si>
  <si>
    <t>ZZZZ</t>
  </si>
  <si>
    <t>YERBA KALENA SUELTA X 1KG 25 JULIO</t>
  </si>
  <si>
    <t>YERBA KALENA SUELTA X 500 GR 25 JULIO</t>
  </si>
  <si>
    <t>YERBA KALENA SUELTA X 250 GR 25 JULIO</t>
  </si>
  <si>
    <t>MERMELADA EL BROCAL NARANJA LIGHT  25 JULIO</t>
  </si>
  <si>
    <t>FELICES DULCE DE LECHE DE ALMENDRAS X 250 GR 25 JULIO</t>
  </si>
  <si>
    <t>FELICES HUMMUS 25 JULIO</t>
  </si>
  <si>
    <t>FELICES QUESO CREMOSO X 500GR 25 JULIO</t>
  </si>
  <si>
    <r>
      <t xml:space="preserve">GALLETITAS </t>
    </r>
    <r>
      <rPr>
        <sz val="11"/>
        <color theme="5" tint="-0.249977111117893"/>
        <rFont val="Calibri"/>
        <family val="2"/>
        <scheme val="minor"/>
      </rPr>
      <t>CACHAFAZ</t>
    </r>
    <r>
      <rPr>
        <sz val="11"/>
        <rFont val="Calibri"/>
        <family val="2"/>
        <scheme val="minor"/>
      </rPr>
      <t xml:space="preserve"> ORGANICAS 25 JULIO</t>
    </r>
  </si>
  <si>
    <r>
      <t xml:space="preserve">GALLETITAS </t>
    </r>
    <r>
      <rPr>
        <sz val="11"/>
        <color theme="5" tint="-0.249977111117893"/>
        <rFont val="Calibri"/>
        <family val="2"/>
        <scheme val="minor"/>
      </rPr>
      <t>CACHAFAZ</t>
    </r>
    <r>
      <rPr>
        <sz val="11"/>
        <rFont val="Calibri"/>
        <family val="2"/>
        <scheme val="minor"/>
      </rPr>
      <t xml:space="preserve"> INTEGRALES 25 JULIO</t>
    </r>
  </si>
  <si>
    <t>LA CANGREJA MEDALLONES X 6 25 JULIO</t>
  </si>
  <si>
    <t>LA CANGREJA MEDALLONES RELLENOS X 6 25 JULIO</t>
  </si>
  <si>
    <t>FIDEOS EMILIA FUSILLI DE TRIGO INTEGRAL X500GR 25 JULIO</t>
  </si>
  <si>
    <t>HARINA AREPAS EL COSACO X KILO 25 JULIO</t>
  </si>
  <si>
    <t>HARINA AREPAS X 500 GR 25 JULIO</t>
  </si>
  <si>
    <t>BARRITA QUE LO PALEO 2 AGOSTO</t>
  </si>
  <si>
    <t>PASTA DE MANI NINAS 2 AGOSTO</t>
  </si>
  <si>
    <t>PASTA DE MANI ENTRE NUTS COCO 2 AGOSTO</t>
  </si>
  <si>
    <t>PASTA DE MANI ENTRE NUTS STEVIA 2 AGOSTO</t>
  </si>
  <si>
    <t>PASTA DE MANI HARDY 2 AGOSTO</t>
  </si>
  <si>
    <t>NUTRI RAW PASTA MANI Y CACAO /MENTA 2 AGOSTO</t>
  </si>
  <si>
    <t>YERBA LAS TUNAS 2 AGOSTO</t>
  </si>
  <si>
    <t>YERBA PIPERPOL COMPUESTA JENGIBRE 500GR 2 AGOSTO</t>
  </si>
  <si>
    <t>YERBA PIPERPOL CON BOLDO 500GR 2 AGOSTO</t>
  </si>
  <si>
    <t>MIX SUPER CLASICO 100 GR 2 AGOSTO</t>
  </si>
  <si>
    <t xml:space="preserve">BOCADITOS DE HIGO Y NUEZ  LOS CAROLINOS C/U 2 AGOSTO </t>
  </si>
  <si>
    <t>LAUREL HOJAS 15 GR 25 JULIO</t>
  </si>
  <si>
    <t>MERMELADA DULCES DEL JARDIN ORGANICA ARANDANOS 2 AGOSTO</t>
  </si>
  <si>
    <t>MERMELADA DULCES DEL JARDIN ORGANICA MANZANA 2 AGOSTO</t>
  </si>
  <si>
    <t>ALFAJOR SOL DE INVIERNO 2 AGOSTO</t>
  </si>
  <si>
    <t>SOL DE INVIERNO PAN DE PANCHO 2 AGOSTO</t>
  </si>
  <si>
    <t>SOBRE COLAGENO 90 GR 2 AGOSTO</t>
  </si>
  <si>
    <t>SOBRE HARINA DE COCA 2 AGOSTO</t>
  </si>
  <si>
    <t>SOBRE GRAVIOLA Y MACA 90GR 2 AGOSTO</t>
  </si>
  <si>
    <t>SOBRE CALCIO CUBANO 2 AGOSTO</t>
  </si>
  <si>
    <t>SOBRE CANNABIS SATIVA HARINA 90GR 2 AGOSTO</t>
  </si>
  <si>
    <t>SOBRE CARTILAGO DE TIBURON 2 AGOSTO</t>
  </si>
  <si>
    <t>SOBRE COCA HARINA 90GR 2 AGOSTO</t>
  </si>
  <si>
    <t>SOBRE MORINGA 2 AGOSTO</t>
  </si>
  <si>
    <t>SOBRE SPIRULINA REFORZADO CON MACA 90GR 2 AGOSTO</t>
  </si>
  <si>
    <t>SOBRE SUPLEMENTO NUTRITIVO 0.44 90GR 2 AGOSTO</t>
  </si>
  <si>
    <t>ZANAH.ZAPALLO.CEBOLLA.ESPINACA.ALBAHACA.PEREJIL.AJO.PUERRO.MORRON</t>
  </si>
  <si>
    <t>GALLETITAS LA FRANCIA VEGANAS NUEVAS 200 GR 2 AGOSTO</t>
  </si>
  <si>
    <t>MAIZ BLANCO X 1 KG 10 AGOSTO</t>
  </si>
  <si>
    <t>MAIZ BLANCO X 500 GR 10 AGOSTO</t>
  </si>
  <si>
    <t>MUNDO VEGETAL MEDALLONES ARROZ YAMANI 10 AGOSTO</t>
  </si>
  <si>
    <t>MUNDO VEGETAL MEDALLONES DE HONGOS 10 AGOSTO</t>
  </si>
  <si>
    <t>MUNDO VEGETAL MEDALLONES DE QUINOA VERDE 10 AGOSTO</t>
  </si>
  <si>
    <t>MUNDO VEGETAL MEDALLONES TODOS 10 AGOSTO</t>
  </si>
  <si>
    <t>MUNDO VEGETAL PREPIZZA ZANAHORIA / ESPINACA 10 AGOSTO</t>
  </si>
  <si>
    <t>FALAFEL CASA VEGANA 10 AGOSTO</t>
  </si>
  <si>
    <t>NOT CHICKEN BURGUER  X 2 10 AGOSTO</t>
  </si>
  <si>
    <t>SANGUSTO BURGUER LENTE.CEBOLLA CARAM.CALABAZA 440GR 10 AGOSTO</t>
  </si>
  <si>
    <t>SANGUSTO BURGUER YAMANI REMOLACHA Y CIBULLETE 440 GR 10 AGOSTO</t>
  </si>
  <si>
    <t>AZUCAR RUBIA ORGANICA SUELTA X 1KG 10 AGOSTO</t>
  </si>
  <si>
    <t>AZUCAR RUBIA ORGANICA SUELTA X 500 GR 10 AGOSTO</t>
  </si>
  <si>
    <t>AZUCAR RUBIA ORGANICA SUELTA X 250 GR 10 AGOSTO</t>
  </si>
  <si>
    <t>DOLORES MEDALLONES TIENDA VEGGIE 10 AGOSTO</t>
  </si>
  <si>
    <t>DOLORES CROKE KIDS TIENDA VEGGIE 10 AGOSTO</t>
  </si>
  <si>
    <t>GALLETAS MASA MADRE SURTIDAS 10 AGOSTO</t>
  </si>
  <si>
    <t>CHOCOLATE DR CACAO ABUNDA 70%X50GR 10 AGOSTO</t>
  </si>
  <si>
    <t>CHOCOLATE DR CACAO ABUNDA 70% ALM.Y COCO X50GR 10 AGOSTO</t>
  </si>
  <si>
    <t>GRANOLA JOHNNY´S MARKET CHOCOLATE X 1KG 10 AGOSTO</t>
  </si>
  <si>
    <t>GRANOLA JOHNNY´S MARKET CHOCOLATE X 250 GR10 AGOSTO</t>
  </si>
  <si>
    <t>ERITRITOL WAW X 250  GR 10 AGOSTO</t>
  </si>
  <si>
    <t>TOQUES DE GARBANZO TIPO FALAFEL CASA VEGANA 15 AGOSTO</t>
  </si>
  <si>
    <t>CASA VEGANA LENTEJON CANADIENSE / QUINOA MEDITE.TODOS 480 GR 15 AGOSTO</t>
  </si>
  <si>
    <t>NOT CHICKEN BURGUER CRISPY X 2 UN. 15 AGOSTO</t>
  </si>
  <si>
    <t>NOT CHICKEN MILA RELLENA ESPINACA X 240 GR 15 AGOSTO</t>
  </si>
  <si>
    <t>GALLETITAS OREO SIN TACC 15 AGOSTO</t>
  </si>
  <si>
    <t>ALFAJORCITOS MASA MADRE IMPALPABLE TODOS/CHOC 15 AGOSTO</t>
  </si>
  <si>
    <t>BIZCOCHITOS DE GRASA NATUZEN 200 GR 20 AGOSTO</t>
  </si>
  <si>
    <t>BIZCOCHITOS DE QUESO AGLU 150 GR 20 AGOSTO</t>
  </si>
  <si>
    <t>JUGO PURA FRUTA GRANDE DETOX TODOS 20 AGOSTO</t>
  </si>
  <si>
    <t>JUGO PURA FRUTA GRANDE ROJO 20 AGOSTO</t>
  </si>
  <si>
    <t>NOT CHEESE CHEDDAR X 140 GR 20 AGOSTO</t>
  </si>
  <si>
    <t>NUEZ MOSCADA X 2 UNIDADES 20 AGOSTO</t>
  </si>
  <si>
    <t>TINTURA MADRE OASIS YACON 25 AGOSTO</t>
  </si>
  <si>
    <t>BARRA CHOCO CANDY MILK AL 80% X 100 GR 25 AGOSTO</t>
  </si>
  <si>
    <t>MANTECA GHEE BEEPURE 270 GR 25 AGOSTO</t>
  </si>
  <si>
    <t>SALSA TERIYAKI HASHI 250 GR 25 AGOSTO</t>
  </si>
  <si>
    <t>SEMILLAS AMARANTO 150GR 25 AGOSTO</t>
  </si>
  <si>
    <t>TRIGO BURGOL FINO YING YANG 500 GR 25 AGOSTO</t>
  </si>
  <si>
    <t>LECHE DE COCO EN POLVO  150GRS EL COSACO 25 AGOSTO</t>
  </si>
  <si>
    <t>LEOFANTI RAVIOLES TODOS 25 AGOSTO</t>
  </si>
  <si>
    <t>LEOFANTI TARTA CALABAZA Y SESAMO 25 AGOSTO</t>
  </si>
  <si>
    <t>TE BOLDO OASIS 30 AGOSTO</t>
  </si>
  <si>
    <t>TE AFRICA OASIS 30 AGOSTO</t>
  </si>
  <si>
    <t>TE ARANDANOS OASIS 30 AGOSTO</t>
  </si>
  <si>
    <t>LA CHICA DEL TE BLEN BOTELLITAS 30 AGOSTO</t>
  </si>
  <si>
    <t>LA CHICA DEL TE BLEN DIGESTIVO 30 AGOSTO</t>
  </si>
  <si>
    <t>LA CHICA DEL TE BLEND EN BOLSITAS 30 AGOSTO</t>
  </si>
  <si>
    <t>LA CHICA DEL TE INFUSORES TELA 30 AGOSTO</t>
  </si>
  <si>
    <t>TE ASIA OASIS 30 AGOSTO</t>
  </si>
  <si>
    <t>TE DIETA FRUTA OASIS 30 AGOSTO</t>
  </si>
  <si>
    <t>TE FRUTOS AZULES OASIS 30 AGOSTO</t>
  </si>
  <si>
    <t>TE MANZANILLA OASIS 30 AGOSTO</t>
  </si>
  <si>
    <t>TE MARRUECOS OASIS 30 AGOSTO</t>
  </si>
  <si>
    <t>TE MIX PLACERES CELESTE OASIS 30 AGOSTO</t>
  </si>
  <si>
    <t>TE MIX ROSA OASIS PLACERES 30 AGOSTO</t>
  </si>
  <si>
    <t>TE MORINGA OASIS 30 AGOSTO</t>
  </si>
  <si>
    <t>TE N° 13 PRESION ALTA OASIS 30 AGOSTO</t>
  </si>
  <si>
    <t>2900'</t>
  </si>
  <si>
    <t>TE N°11 COLESTEROL OASIS 30 AGOSTO</t>
  </si>
  <si>
    <t>TE NEGRO ORGANICO OASIS 30 AGOSTO</t>
  </si>
  <si>
    <t>TE N°8 ANTIGRIPAL OASIS 30 AGOSTO</t>
  </si>
  <si>
    <t>TE OASIS CEDRON HISBISCUS 30 AGOSTO</t>
  </si>
  <si>
    <t>TE OASIS JAZMIN 30 AGOSTO</t>
  </si>
  <si>
    <t>SEMILLAS AMARANTO 100 GR 25 AGOSTO</t>
  </si>
  <si>
    <t>SEMILLAS AMARANTO X 250 GR 25 AGOSTO</t>
  </si>
  <si>
    <t>INFUSORES TELA GRANDE LA CHICA DEL TE 2 SEPT.</t>
  </si>
  <si>
    <t>ACEITE DE HAMAMELIS ACUA NATURAL X 50CC 5 SEPT.</t>
  </si>
  <si>
    <t>DULCE DE BATATA ORIETA 5 SEPT.</t>
  </si>
  <si>
    <t>AGUA DE AZAHAR FLEIBOR X 30CC 5 SEPT.</t>
  </si>
  <si>
    <t>GALLETAS DE ARROZ REDONDAS TELGOPOR 5 SEPT.</t>
  </si>
  <si>
    <t>WASABI 5 GR 5 SEPT.</t>
  </si>
  <si>
    <t>YUYOS BOLDO X 30 GR 5 SEPT.</t>
  </si>
  <si>
    <t>YUYOS CUASSIA O PALO AMARGO X 50 GR 5 SEPT.</t>
  </si>
  <si>
    <t>YUYOS MALVA HOJAS 50GR 5 SEPT.</t>
  </si>
  <si>
    <t>YUYOS MARCELA SUELTO X 50 GR 5 SEPT.</t>
  </si>
  <si>
    <t>YUYOS MENTA X 50 GR 5 SEPT.</t>
  </si>
  <si>
    <t>YUYOS MIL HOMBRES X 70 GR 5 SEPT.</t>
  </si>
  <si>
    <t>YUYOS MORINGA X 50 GR 5 SEPT.</t>
  </si>
  <si>
    <t>YUYOS ORTIGA X 50 GR 5 SEPT.</t>
  </si>
  <si>
    <t>YUYOS PASIONARIA HOJAS 50GR 5 SEPT.</t>
  </si>
  <si>
    <t>YUYOS PAICO 100 GR 5 SEPT.</t>
  </si>
  <si>
    <t>YUYOS PAICO 50 GR 5 SEPT.</t>
  </si>
  <si>
    <t>YUYOS PEPERINA X 50 GR 5 SEPT.</t>
  </si>
  <si>
    <t>YUYOS PEZUÑA DE VACA X 50 GR 5 SEPT.</t>
  </si>
  <si>
    <t>YUYOS RUDA 70 GR 5 SEPT.</t>
  </si>
  <si>
    <t>YUYOS SALVIA BLANCA X 50 GR 5 SEPT.</t>
  </si>
  <si>
    <t>YUYOS SARANDI 50 GR 5 SEPT.</t>
  </si>
  <si>
    <t>YUYOS BURRITO X 50 GR 5 SEPT.</t>
  </si>
  <si>
    <t>YUYOS MEONA 0 ARNARIA 50GR 5 SEPT.</t>
  </si>
  <si>
    <t>YUYOS YERBA DE POLLO 50GR 5 SEPT.</t>
  </si>
  <si>
    <t>REBOZADOR GLUTAL 500 GR 5 SEPT.</t>
  </si>
  <si>
    <t>CLAVO DE OLOR 10 GR 5 SEPT.</t>
  </si>
  <si>
    <t>CLAVO DE OLOR 20 GR(2 BOLSITAS) 5 SEPT.</t>
  </si>
  <si>
    <t>ADOBO PARA PIZZA ZX 1 KG 5 SEPT.</t>
  </si>
  <si>
    <t>ADOBO PARA PIZZA C 250 GR 5 SEPT.</t>
  </si>
  <si>
    <t>ADOBO PARA PIZZA B 100 GR 5 SEPT.</t>
  </si>
  <si>
    <t>ADOBO PARA PIZZA A50 GR 5 SEPT.</t>
  </si>
  <si>
    <t>ALBAHACA 30 GR 5 SEPT.</t>
  </si>
  <si>
    <t>ANIS EN GRANO 25 GR 5 SEPT.</t>
  </si>
  <si>
    <t>ANIS ESTRELLADO X 15 GR 5 SEPT.</t>
  </si>
  <si>
    <t>CALDO SUELTO SIN SAL AGREGADA SIN GRASA 100 GR 5 SEPT.</t>
  </si>
  <si>
    <t>CEBOLLA EN POLVO X 40 GR 5 SEPT.</t>
  </si>
  <si>
    <t>CHIMICHURRI 50 GR 5 SEPT.</t>
  </si>
  <si>
    <t>COMINO 45 GR 5 SEPT.</t>
  </si>
  <si>
    <t>COMINO 200 GR 5 SEPT.</t>
  </si>
  <si>
    <t>CONDIMENTO PARA ARROZ 45GR 5 SEPT.</t>
  </si>
  <si>
    <t>CONDIMENTO PARA HAMBURGUESA 5 SEPT.</t>
  </si>
  <si>
    <t>CORIANDRO 50 GR 5 SEPTIEMBRE</t>
  </si>
  <si>
    <t>CURRY 45 GR 5 SEPT.</t>
  </si>
  <si>
    <t>MIX DE VERDURAS JULIANA 100 GR 5 SEPT.</t>
  </si>
  <si>
    <t>MIX DE VERDURAS JULIANA 250 GR 5 SEPT.</t>
  </si>
  <si>
    <t>MOSTAZA MOLIDA X 40 GR 5 SEPT.</t>
  </si>
  <si>
    <t>PESTO 50 GR 5 SEPT.</t>
  </si>
  <si>
    <t>PIMENTON AHUMADO PREMIUM 50 GR 5 SEPT.</t>
  </si>
  <si>
    <t>PIMENTON AHUMADO PREMIUM 150 GR 5 SEPT.</t>
  </si>
  <si>
    <t>PIMENTON AHUMADO X100 GR 5 SEPT</t>
  </si>
  <si>
    <t>PIMIENTA BLANCA EN POLVO 40GR 5 SEPT.</t>
  </si>
  <si>
    <t>PIMIENTA NEGRA MOLIDA X 50 GR 5 SEPT.</t>
  </si>
  <si>
    <t>PIMIENTA NEGRA MOLIDA X 150 GR  5 SEPT.</t>
  </si>
  <si>
    <t>PIMIENTA NEGRA MOLIDA 250 GR 5 SEPT.</t>
  </si>
  <si>
    <t>FAINAX HARINA GARBANZO Y TRIGO X 1 KG 5 SEPT.</t>
  </si>
  <si>
    <t>FAINAX HARINA GARBANZO Y TRIGO X 500 GRS 5 SEPT.</t>
  </si>
  <si>
    <t>HARINA PARAGUAYA DE MAIZ X 500 GRS 5 SEPT.</t>
  </si>
  <si>
    <t>HARINA PARAGUAYA DE MAIZ X 1KG 5 SEPT.</t>
  </si>
  <si>
    <t>POROTOS ALUBIA X 1 KG 5 SEPT.</t>
  </si>
  <si>
    <t>POROTOS ALUBIA X 250 GRS 5 SEPT.</t>
  </si>
  <si>
    <t>POROTOS ALUBIA X 500 GR 5 SEPT.</t>
  </si>
  <si>
    <t>SEMOLIN X 1 KG 5 SEPT.</t>
  </si>
  <si>
    <t>SEMOLIN X 500 GR 5 SEPT.</t>
  </si>
  <si>
    <t>GALLETITAS NUTRESAN DULCE 5 SEPT.</t>
  </si>
  <si>
    <t>STEVIA DULRI 50 SOBRES 5 SEPT.</t>
  </si>
  <si>
    <t>KONY STEVIA LIQUIDA X 100ML 5 SEPT.</t>
  </si>
  <si>
    <t>COMINO 150GR 5 SEPT.</t>
  </si>
  <si>
    <t>PAPRIKA 50 GR 5 SEPT.</t>
  </si>
  <si>
    <t>PAPRIKA 150GR 5 SEPT.</t>
  </si>
  <si>
    <t>ROMERO X 50 GR  5 SEPT.</t>
  </si>
  <si>
    <t>ROMERO X 100 GR  5 SEPT.</t>
  </si>
  <si>
    <t>BYGIRO PANCAKE MANZANA X 420 GR 7 SEPT.</t>
  </si>
  <si>
    <t>BYGIRO PANCAKE FRUTOS ROJOS X 420GR 7 SEPT.</t>
  </si>
  <si>
    <t>BYGIRO PANCAKE BANANA/CLASICO X 420GR 7 SEPT.</t>
  </si>
  <si>
    <t>ALCAPARRAS GULLO X 100 GR 7 SEPT.</t>
  </si>
  <si>
    <t>ALGO DULCE GALLETITAS DE AVENA AYELEN X 6 15 SEPT.</t>
  </si>
  <si>
    <t>ACEITE DE SESAMO NUTRASEM 250 ML 20 SEPTIEMB.</t>
  </si>
  <si>
    <t>ACEITE DE CHIA NUTRASEM X 150 ML 20 SEPT.</t>
  </si>
  <si>
    <t>HARINA DE SOJA X 1 KG 25 SEPT.</t>
  </si>
  <si>
    <t>HARINA DE SOJA X 500 GR 25 SEPT.</t>
  </si>
  <si>
    <t>POROTOS MUNG X 1 KG 20 SEPT.</t>
  </si>
  <si>
    <t>POROTOS MUNG X 250 GRS 20 SEPT.</t>
  </si>
  <si>
    <t>POROTOS MUNG X 500 GR 20 SEPT.</t>
  </si>
  <si>
    <t>HUEVOS MAPLE 30 HUEVOS 20 SEPT.</t>
  </si>
  <si>
    <t>HUEVOS 6 UNIDADES 20 SEPT.</t>
  </si>
  <si>
    <t>HUEVOS 12 UNIDADES 20 SEPT.</t>
  </si>
  <si>
    <t>ACEITE SAN AGUSTIN CLASICO VIDRIO 500 CC 25 SEPT.</t>
  </si>
  <si>
    <t>ACEITE SAN AGUSTIN PLASTICO 500 CC 25 SEPT.</t>
  </si>
  <si>
    <t>SAL NEGRA MK ORGANIC X 100 GR 25 SEPT.</t>
  </si>
  <si>
    <t>AZUCAR DE COCO MK ORGANIC X 180 GR 25 SEPT.</t>
  </si>
  <si>
    <t>ACEITE DE RICINO X 20 ML 25 SEPT.</t>
  </si>
  <si>
    <t>REBOZADOR NATURAL SUR X 350 GR 25 SEPT.</t>
  </si>
  <si>
    <t>PAN RALLADO INTIPAN X 500 GR 25 SEPT.</t>
  </si>
  <si>
    <t>FIDEOS THANI TIRABUZON 25 SEPT.</t>
  </si>
  <si>
    <t>DICOMERE HARINA DE ALMENDRAS 200 GR 25 SEPT.</t>
  </si>
  <si>
    <t>DICOMERE HARINA DE SORGO INTEGRAL 450GR 25 SEPT.</t>
  </si>
  <si>
    <t>BASTONI CAPRESE 25 SEPT.</t>
  </si>
  <si>
    <t>BASTONI KETO AMARILLO PARMESANO Y SESAMO 25 SEPT.</t>
  </si>
  <si>
    <t>BASTONI KETO AZUL PARMESANO 25 SEPT.</t>
  </si>
  <si>
    <t>LYV BARRA PROTEICA 25 SEPT.</t>
  </si>
  <si>
    <t>TE HEREDIA SURTIDO MAGICO DE HIERBAS 25 SEPT.</t>
  </si>
  <si>
    <t>GOMA XANTICA ONZA DE ORO 50 GR 25 SEPT.</t>
  </si>
  <si>
    <t>YOGURT TREGAR  25 SEPT.</t>
  </si>
  <si>
    <t>CAPSULAS CHIA CAJA CON TRES BLISTER 25 SEPT.</t>
  </si>
  <si>
    <t>JUGO DE ARANDANOS Y CHIA 1,5 LTS CUARTO CREC. 25 SEPT.</t>
  </si>
  <si>
    <t>TAHINI SOL AZTECA (PASTA DE SESAMO)25 SEPT.</t>
  </si>
  <si>
    <t>MIX PREMIUM 100 GR 25 SEPT.</t>
  </si>
  <si>
    <t>PREMEZCLA ARCOR BIZCOCHUELO VAINILLA/CHOCOLATE 25 SEPT.</t>
  </si>
  <si>
    <t>BARRITA PROTEICA RAPTOR 25 SEPT.</t>
  </si>
  <si>
    <t>CHOCOLATE BARRA AGUILA AL 80% 150GR 25 SEPT.</t>
  </si>
  <si>
    <t>VINO ARTESANO MALBEC 25 SEPT.</t>
  </si>
  <si>
    <t>VINO ARGENTO MALBEC 25 SEPT.</t>
  </si>
  <si>
    <t>CONDIMENTO PARA PESCADO 40 GR 25 SEPT.</t>
  </si>
  <si>
    <t>CONDIMENTO PARA PESCADO 100 GR 25 SEPT.</t>
  </si>
  <si>
    <t>LEVADURA LEVEX 2 SOBRES 10 OCTUBRE</t>
  </si>
  <si>
    <t>TE SAINT GOTTARD DETOX 10 OCTUBRE</t>
  </si>
  <si>
    <t>VINO BOUSQUET ROSADO 10 OCTUBRE</t>
  </si>
  <si>
    <t>VINO BOUSQUET CHARDONAY 10 OCTUBRE</t>
  </si>
  <si>
    <t>LECHE VRINK DE ALMENDRAS SIN AZUCAR X 1 LTS 10 OCTUBRE</t>
  </si>
  <si>
    <t>NUEZ MOSCADA EN POLVO 30 GR 10 OCTUBRE</t>
  </si>
  <si>
    <t>NUEZ MOSCADA EN POLVO 50 GR 10 OCTUBRE</t>
  </si>
  <si>
    <t>YUYOS DIENTE DE LEON X 40 GR 10 OCTUBRE</t>
  </si>
  <si>
    <t>ZZZZZZZ</t>
  </si>
  <si>
    <t>ESENCIA DE VAINILLA LESANCI X 100CC 10 OCTUBRE</t>
  </si>
  <si>
    <t>ESENCIA DE VAINILLA EL PROCAL 35 ML 10 OCTUBRE</t>
  </si>
  <si>
    <t>ARVEJA VERDE PARTIDA X KG 10 OCTUBRE</t>
  </si>
  <si>
    <t>ARVEJA VERDE PARTIDA X 500 GR 10 OCTUBRE</t>
  </si>
  <si>
    <t>ARVEJA VERDE PARTIDA X 250 GR 10 OCTUBRE</t>
  </si>
  <si>
    <t>MAICENA FECULA DE MAIZ XZ 1 KG 10 OCTUBRE</t>
  </si>
  <si>
    <t>MAICENA FECULA DE MAIZ X 500 GR 10 OCTUBRE</t>
  </si>
  <si>
    <t>MAICENA FECULA DE MAIZ X 250 GR 10 OCTUBRE</t>
  </si>
  <si>
    <t>SALVADO DE AVENA X 1 KG 10 OCTUBRE</t>
  </si>
  <si>
    <t>SALVADO DE AVENA X 500 10 OCTUBRE</t>
  </si>
  <si>
    <t>REBOZADOR DELICEL X 500 GR 10 OCTUBRE</t>
  </si>
  <si>
    <t>REBOZADOR MUSLI DORADO X 500GR 10 OCTUBRE</t>
  </si>
  <si>
    <t>REBOZADOR MUSLI CLASICO X 500GR 10 OCTUBRE</t>
  </si>
  <si>
    <t>TE HEREDIA FEMENINO 10 OCTUBRE</t>
  </si>
  <si>
    <t>TE HEREDIA MEDITACION 10 OCTUBRE</t>
  </si>
  <si>
    <t>TE PIPERPOL TILO 10 OCTUBRE</t>
  </si>
  <si>
    <t>FELICES QUESO DAMBO EN FETAS SIN STOCK</t>
  </si>
  <si>
    <t xml:space="preserve">NOT CHEESE DAMBO 10 OCTUBRE </t>
  </si>
  <si>
    <t>VEGGIELAND SALCHICHA VEGANA X 200 GR 10 OCTUBRE</t>
  </si>
  <si>
    <t>DELICEL COOKIES CHOCOLATE 10 OCTUBRE</t>
  </si>
  <si>
    <t>FILTRO PARA BOMBILLA X 2 UNID. 10 OCTUBRE</t>
  </si>
  <si>
    <t>VINO TILIA CHARDONAY 10 OCTUBRE</t>
  </si>
  <si>
    <t>ENELDO 50 GR 10 OCTUBRE</t>
  </si>
  <si>
    <t>PIMIENTAS MIX SUELTO DE 40GR 10 OCTUBRE</t>
  </si>
  <si>
    <t>PIMIENTA CAYENA 40 GR 10 OCTUBRE</t>
  </si>
  <si>
    <t>PIMIENTA CAYENA 100GR 10 OCTUBRE</t>
  </si>
  <si>
    <t>YUYOS ALCACHOFA 50 GR 10 OCTUBRE</t>
  </si>
  <si>
    <t>GRANAS DE COLORES 150 GR 10 OCTUBRE</t>
  </si>
  <si>
    <t>GRANAS DE COLORES 70 GR 10 OCTUBRE</t>
  </si>
  <si>
    <t>ARROZ INFLADO X 40 GR 10 OCTUBRE</t>
  </si>
  <si>
    <t>ARROZ INFLADO X 100 GR 10 OCTUBRE</t>
  </si>
  <si>
    <t>ACEITE DE RICINO X 250 CC 10 OCTUBRE</t>
  </si>
  <si>
    <t>CASCARILLA CACAO 1 KG 10 OCTUBRE</t>
  </si>
  <si>
    <t>CASCARILLA CACAO 500 GR 10 OCTUBRE</t>
  </si>
  <si>
    <t>CASCARILLA CACAO 250 GR 10 OCTUBRE</t>
  </si>
  <si>
    <t>CASCARILLA CACAO 200 GR 10 OCTUBRE</t>
  </si>
  <si>
    <t>ACEITE DE SESAMO SOL AZTECA 250 ML 10 OCTUBRE</t>
  </si>
  <si>
    <t>ACEITE DE CALABAZA SOL AZTECA 100 CC 10 OCTUBRE</t>
  </si>
  <si>
    <t>ACEITE DE ALMENDRAS SOL AZTECA 10 OCTUBRE</t>
  </si>
  <si>
    <t>TE N° 15 NO FUMAR OASIS 10 OCTUBRE</t>
  </si>
  <si>
    <t>TE COCO Y VAINILLA OASIS 10 OCTUBRE</t>
  </si>
  <si>
    <t>BERNARDO DULZURAS BUDIN 10 OCTUBRE</t>
  </si>
  <si>
    <t>BERNARDO DULZURAS ALFAJOR DE MAICENA / CACAO 10 OCTUBRE</t>
  </si>
  <si>
    <t>BERNARDO DULZURAS MEDIALUNAS X 3 10 OCTUBRE</t>
  </si>
  <si>
    <t>BERNARDO DULZURAS PIZZETASX 2  10 OCTUBRE</t>
  </si>
  <si>
    <t>CHIPS DE CHOCOLATE BLANCO 500 GR 10 OCTUBRE</t>
  </si>
  <si>
    <t>CHIPS DE CHOCOLATE BLANCO 250 GR 10 OCTUBRE</t>
  </si>
  <si>
    <t>CHIPS DE CHOCOLATE BLANCO 150 GR 10 OCTUBRE</t>
  </si>
  <si>
    <t>ZZZZZZ</t>
  </si>
  <si>
    <t>CASCARILLA CACAO 90 GR 10 OCTUBRE</t>
  </si>
  <si>
    <t>CANELA EN RAMA X 10 GR 10 OCTUBRE</t>
  </si>
  <si>
    <t>CANELA EN RAMA X 15 GR 10 OCTUBRE</t>
  </si>
  <si>
    <t>CANELA EN RAMA X 20 GR 10 OCTUBRE</t>
  </si>
  <si>
    <t>YUYOS CONGOROSA X 50 GR 5 SEPT.</t>
  </si>
  <si>
    <t>AGAR AGAR SIN SABOR SOBRE 20 OCTUBRE</t>
  </si>
  <si>
    <t>ALFAJOR NUTRI RAW TODOS 20 OCTUBRE</t>
  </si>
  <si>
    <t>ALGO DULCE BUDIN AYELEN 20 OCTUBRE</t>
  </si>
  <si>
    <t>GALLETITAS CANVAS QUESO 20 OCTUBRE</t>
  </si>
  <si>
    <t>GALLETITAS LA FRANCIA PEPAS VARIAS  20 OCTUBRE</t>
  </si>
  <si>
    <t>GALLETITAS LA FRANCIA COOKIES 20 OCTUBRE</t>
  </si>
  <si>
    <t>FELICES MUZZARELLA X 250 GR 20 OCTUBRE</t>
  </si>
  <si>
    <t>GUADALEST LEMONCHELO 1KG 20 OCTUBRE</t>
  </si>
  <si>
    <t>GUADALEST LEMONCHELO 100 GR 20 OCTUBRE</t>
  </si>
  <si>
    <t>EXTRACTO DE VAINILLA LIQUIDA NATURAL EL CASTILLO 100 CC 20 OCTUBRE</t>
  </si>
  <si>
    <t>FELICES FANTASTIQUE QUESO UNTABLE 20 OCTUBRE</t>
  </si>
  <si>
    <t>NOT ICE CREAM HELADO CHOCOLATE / FRUTILLA 330GR 20 OCTUBRE</t>
  </si>
  <si>
    <t>PASTA DENTAL SRI SRI 50 GR 20 OCTUBRE</t>
  </si>
  <si>
    <t>ALMOHADITAS DE CHOCOLATE 200 GR 20 OCTUBRE</t>
  </si>
  <si>
    <t>ALMOHADITAS DE CHOCOLATE 250 GR 20 OCTUBRE</t>
  </si>
  <si>
    <t>ALMOHADITAS DE CHOCOLATE 70 GR 20 OCTUBRE</t>
  </si>
  <si>
    <t>YUYOS TE ROJO PABLO 20 OCTUBRE</t>
  </si>
  <si>
    <t>YUYOS TE NEGRO PABLO X 50 GR 20 OCTUBRE</t>
  </si>
  <si>
    <t>YUYOS TE NEGRO PABLO X 100 GR 20 OCTUBRE</t>
  </si>
  <si>
    <t>ARROZ BASMATI 1KG 25 OCTUBRE</t>
  </si>
  <si>
    <t>ARROZ BASMATI 500 GR 25 OCTUBRE</t>
  </si>
  <si>
    <t>ARROZ BASMATI 250 GR 25 OCTUBRE</t>
  </si>
  <si>
    <t>BERNARDO DULZURAS PASTAFROLAS VARIAS 25 OCTUBRE</t>
  </si>
  <si>
    <t>BERNARDO DULZURAS GALLETITAS DULCES/QUESO/AVENA TODAS 25 OCTUBRE</t>
  </si>
  <si>
    <t>BERNARDO DULZURAS PAN FIGAZZA X 2 UNIDAD 25 OCTUBRE</t>
  </si>
  <si>
    <t>ARANDANOS DESHIDRATADOS 100 GR 25 OCTUBRE</t>
  </si>
  <si>
    <t>ARANDANOS DESHIDRATADOS 250 GR 25 OCTUBRE</t>
  </si>
  <si>
    <t>ARANDANOS DESHIDRATADOS X 500 GR 25 OCTUBRE</t>
  </si>
  <si>
    <t>ARANDANOS DESHIDRATADOS X A 1 KG 25 OCTUBRE</t>
  </si>
  <si>
    <t>SEMILLAS DE AMAPOLA 500 GR 25 OCTUBRE</t>
  </si>
  <si>
    <t>SEMILLAS DE AMAPOLA 250 GR 25 OCTUBRE</t>
  </si>
  <si>
    <t>SEMILLAS DE AMAPOLA 100 GR 25 OCTUBRE</t>
  </si>
  <si>
    <t>SEMILLAS DE AMAPOLA 50 GR 25 OCTUBRE</t>
  </si>
  <si>
    <t>ACEITE DE COCO ENTRENUTS NEUTRO 360ML 25 OCTUBRE</t>
  </si>
  <si>
    <t>ACEITE DE COCO VIRGEN ENTRENUTS 360 CC 25 OCTUBRE</t>
  </si>
  <si>
    <t>ACEITE DE COCO VIRGEN ENTRENUTS CHICO 200 CC 25 OCTUBRE</t>
  </si>
  <si>
    <t>ACEITE DE COCO ENTRENUTS  NEUTRO 200 CC 25 OCTUBRE</t>
  </si>
  <si>
    <t>ACEITE DE OLIVA FRUTOS DEL NORTE 500 ML 25 OCTUBRE</t>
  </si>
  <si>
    <t>ACEITE DE OLIVA FRUTOS DEL NORTE 250 ML 25 OCTUBRE</t>
  </si>
  <si>
    <t>KIBAR BARRITA PROTEICA VAINI/CACAO 25 OCTUBRE</t>
  </si>
  <si>
    <t>BARRITA MERLIN PROTEICA 55GR 25 OCTUBRE</t>
  </si>
  <si>
    <t>BAÑO REPOSTERO CHOCOLART 500 GR 25 OCTUBRE</t>
  </si>
  <si>
    <t>BAÑO REPOSTERO CHOCOLART 250 GR 25 OCTUBRE</t>
  </si>
  <si>
    <t>LECHE DE COCO EN POLVO  DICOMERE 150 GR 25 OCTUBRE</t>
  </si>
  <si>
    <t>DIMAX BUDIN CON CHIPS CHOCO 25 OCTUBRE</t>
  </si>
  <si>
    <t>CHUCRUT RECETAS DE ENTONCES CON CIRUELA X 310GR 25 OCTUBRE</t>
  </si>
  <si>
    <t>ALGAS NORY ARGENDIET 6 HOJAS 25 OCTUBRE</t>
  </si>
  <si>
    <t>MIEL ENTRENUTS LIQUIDA 500 GR 25 OCTUBRE</t>
  </si>
  <si>
    <t>SALSA DE SOJA BITARWAN TRADICIONAL X 250CC 25 OCTUBRE</t>
  </si>
  <si>
    <t>AVENA TRADICIONAL BIO 250 GR SIN TACC 25 OCTUBRE</t>
  </si>
  <si>
    <t>MIX PREMIUM X A 1KG 25 OCTUBRE</t>
  </si>
  <si>
    <t>MIX PREMIUM X 500 GR 25 OCTUBRE</t>
  </si>
  <si>
    <t>MIX PREMIUM X 250GR 25 OCTUBRE</t>
  </si>
  <si>
    <t>MIX PREMIUM X 150 GRS 25 OCTUBRE</t>
  </si>
  <si>
    <t>MIX SUPER CLASICO X A 1KG 25 OCTUBRE</t>
  </si>
  <si>
    <t>MIX SUPER CLASICO X 500 GR 25 OCTUBRE</t>
  </si>
  <si>
    <t>MIX SUPER CLASICO X 250GR 25 OCTUBRE</t>
  </si>
  <si>
    <t>MIX SUPER CLASICO X 150 GRS 25 OCTUBRE</t>
  </si>
  <si>
    <t>MIX TROPI FLOW X A 1 KG 25 OCTUBRE</t>
  </si>
  <si>
    <t>MIX TROPI FLOW X 500 GR 25 OCTUBRE</t>
  </si>
  <si>
    <t>MIX TROPI FLOW X 250 GR 25 OCTUBRE</t>
  </si>
  <si>
    <t>MIX TROPI FLOW X 150 GRS 25 OCTUBRE</t>
  </si>
  <si>
    <t>CANELA PREMIUM X 40 GR 25 OCTUBRE</t>
  </si>
  <si>
    <t>CANELA PREMIUM X 150 GR 25 OCTUBRE</t>
  </si>
  <si>
    <t>CANELA PREMIUM 100 GR 25 OCTUBRE</t>
  </si>
  <si>
    <t>GRANOLA LAS MAÑANITAS FRUTOS ROJOS 1KG 25 OCTUBRE</t>
  </si>
  <si>
    <t>GRANOLA LAS MAÑANITAS FRUTOS ROJOS 250 GR 25 OCTUBRE</t>
  </si>
  <si>
    <t>YUYOS POLEO X 40 GR 25 OCTUBRE</t>
  </si>
  <si>
    <t>YUYOS EUCALIPTO 1 KG 25 OCTUBRE</t>
  </si>
  <si>
    <t>YUYOS EUCALIPTO 50 GR 25 OCTUBRE</t>
  </si>
  <si>
    <t>PIMENTON DULCE 50 GR 25 OCTUBRE</t>
  </si>
  <si>
    <t>PIMENTON DULCE X 100 GR 25 OCTUBRE</t>
  </si>
  <si>
    <t>PIMENTON DULCE X 250 GR 25 OCTUBRE</t>
  </si>
  <si>
    <t>YERBA PAMPA ORGANICA X 500 GR TODAS 28 OCTUBRE</t>
  </si>
  <si>
    <t>YERBA KURUPI X 500 GR 28 OCTUBRE</t>
  </si>
  <si>
    <t>YERBA MATHIENZO 500 GR 28 OCTUBRE</t>
  </si>
  <si>
    <t>TE INTI ZEN TODOS 28 OCTUBRE</t>
  </si>
  <si>
    <t>CEBOLLITAS VANOLI 330 GR 28 OCTUBRE</t>
  </si>
  <si>
    <t>ACEITUNAS DESCAROZADAS VERDES NUCETE 28 OCTUBRE</t>
  </si>
  <si>
    <t>ACEITUNAS NEGRAS NUCETE 28 OCTUBRE</t>
  </si>
  <si>
    <t>PICKLES VANOLI 28 OCTUBRE</t>
  </si>
  <si>
    <t>VINO BOUSQUET MALBEC 28 OCTUBRE</t>
  </si>
  <si>
    <t>BIBA LECHE DE QUINOA 28 OCTUBRE</t>
  </si>
  <si>
    <t>VIVET LECHE DE CACAHUATE 28 OCTUBRE</t>
  </si>
  <si>
    <t>LECHE SILK DE ALMENDRAS / COCO 28 OCTUBRE</t>
  </si>
  <si>
    <t>ALFAJOR DE SIATO 28 OCTUBRE</t>
  </si>
  <si>
    <t>YERBA ENTRE SIERRAS 25 OCTUBRE</t>
  </si>
  <si>
    <t>TUTUCA MAIZ INFLADO X 70 GRS 2 NOVIEMB</t>
  </si>
  <si>
    <t>TUTUCA MAIZ INFLADO X 1 KG GRS 2 NOVIEMBRE</t>
  </si>
  <si>
    <t>TUTUCA MAIZ INFLADO X 500GR 2 NOVIEMBRE</t>
  </si>
  <si>
    <t>TUTUCA MAIZ INFLADO X 250 GR 2 NOVIEMBRE</t>
  </si>
  <si>
    <t>CHOCOLATE COBERTURA MAPSA X 500 GR 2 NOVIEMB</t>
  </si>
  <si>
    <t>CHOCOLATE COBERTURA MAPSA X 250 GR 2 NOVIEMB</t>
  </si>
  <si>
    <t>VEGANIS CREMA PARA EL CUERPO 2 NOVIEMBRE</t>
  </si>
  <si>
    <t>VEGANIS CREMA PALTA MANOS Y CUERPO 2 NOVIEMBRE</t>
  </si>
  <si>
    <t>YUYOS CEDRON 35 GR 2 NOVIEMBRE</t>
  </si>
  <si>
    <t>DULCE DE LECHE SINGLUKO SIN AZUCAR 2 NOVIEMBRE</t>
  </si>
  <si>
    <t>DULCE DE LECHE REGIDIET/CON CACAO 2 NOVIEMBRE</t>
  </si>
  <si>
    <t>SAL MARINA PARRILLERA FRASCO GELL SINGH 500 GR 2 NOVIEMBRE</t>
  </si>
  <si>
    <t>HARINA INTEGRAL X 1 KG 2 NOVIEMBRE</t>
  </si>
  <si>
    <t>HARINA INTEGRAL 500 GR 2 NOVIEMBRE</t>
  </si>
  <si>
    <t>POROTOS PALLARES X1KG 2 NOVIEMBRE</t>
  </si>
  <si>
    <t>POROTOS PALLARES X 500 GR 2 NOVIEMBRE</t>
  </si>
  <si>
    <t>POROTOS PALLARES X 250 GRS 2 NOVIEMBRE</t>
  </si>
  <si>
    <t>SALVADO DE TRIGO KG 2 NOVIEMBRE</t>
  </si>
  <si>
    <t>SALVADO DE TRIGO 500 GR 2 NOVIEMBRE</t>
  </si>
  <si>
    <t>SALVADO DE TRIGO 250 GR 2 NOVIEMBRE</t>
  </si>
  <si>
    <t>GALLETITAS LIMBO JENGIBRE Y LIMON SIN AZUCAR 2 NOVIEMBRE</t>
  </si>
  <si>
    <t>ALFAJOR CERAL NEGRO 2 NOVIEMBRE</t>
  </si>
  <si>
    <t>POLVO PARA HORNEAR XZ 1KG 2 NOVIEMBRE</t>
  </si>
  <si>
    <t>POLVO PARA HORNEAR X 500 GR 2 NOVIEMBRE</t>
  </si>
  <si>
    <t>POLVO PARA HORNEAR X 250 GR 2 NOVIEMBRE</t>
  </si>
  <si>
    <t>POLVO PARA HORNEAR X 100GR 2 NOVIEMBRE</t>
  </si>
  <si>
    <t>YUYOS TE VERDE PABLO X 50 GR 2 NOVIEMBRE</t>
  </si>
  <si>
    <t>LECHE DE ALMENDRAS COCOON SIN AZUCAR 2 NOVIEMBRE</t>
  </si>
  <si>
    <t>POROTOS NEGROS X 1 KG 2 NOVIEMBRE</t>
  </si>
  <si>
    <t>POROTOS NEGROS X 500 2 NOVIEMBRE</t>
  </si>
  <si>
    <t>POROTOS COLORADOS X 1 KG 2 NOVIEMBRE</t>
  </si>
  <si>
    <t>POROTOS COLORADOS X 500 GR 2 NOVIEMBRE</t>
  </si>
  <si>
    <t>POROTOS COLORADOS X 250 GR 2 NOVIEMBRE</t>
  </si>
  <si>
    <t>AZUCAR RUBIA PABLOX 1 KG 2 NOVIEMBRE</t>
  </si>
  <si>
    <t>AZUCAR RUBIA PABLO X 500 GR 2 NOVIEMBRE</t>
  </si>
  <si>
    <t>AZUCAR RUBIA PABLO X 250 GR 2 NOVIEMBRE</t>
  </si>
  <si>
    <t>EXTRACTO DE MALTA FLEIBOR 2 NOVIEMBRE</t>
  </si>
  <si>
    <t>VEGANIS CREMA ESTRIAS 300 ML 2 NOVIEMBRE</t>
  </si>
  <si>
    <t xml:space="preserve">GRANOLA KETONOLA REINA FOOD </t>
  </si>
  <si>
    <t>KETOSISIMA PREMEZCLA CHOCO Y VAINILLA 2 NOVIEMBRE</t>
  </si>
  <si>
    <t>ALFAJORCITOS INTEGRALES SIN AZUCAR X 2 UNID. 2 NOVIEMBRE</t>
  </si>
  <si>
    <t xml:space="preserve">INICIADOR DE YOGUR NOW SOBRE 5 GR 2 NOVIEMBRE </t>
  </si>
  <si>
    <t>CORDYCEPS LA FELIZ 2 NOVIEMBRE</t>
  </si>
  <si>
    <t>SEMILLAS CHIA Z1 KG 2 NOVIEMBRE</t>
  </si>
  <si>
    <t>SEMILLAS CHIA 500 GR 2 NOVIEMBRE</t>
  </si>
  <si>
    <t>SEMILLAS CHIA 250 GR 2 NOVIEMBRE</t>
  </si>
  <si>
    <t>SEMILLAS CHIA 150 GR 2 NOVIEMBRE</t>
  </si>
  <si>
    <t>SEMILLAS CHIA 100 GR 2 NOVIEMBRE</t>
  </si>
  <si>
    <t>HARINA DE TRIGO SARRACENO Z 1 KG 2 NOVIEMBRE</t>
  </si>
  <si>
    <t>HARINA DE TRIGO SARRACENO 500 GR 2 NOVIEMBRE</t>
  </si>
  <si>
    <t>HARINA DE TRIGO SARRACENO 250 GR 2 NOVIEMBRE</t>
  </si>
  <si>
    <t>HARINA TRIGO SARRACENO 1 KG ( SEMILLAS GAUCHAS) 2 NOVIEMBRE</t>
  </si>
  <si>
    <t>HARINA TRIGO SARRACENO 500 GR (SEMILLAS GAUCHAS) 2 NOVIEMBRE</t>
  </si>
  <si>
    <t>JUGO DE ARANDANOS CUARTO CRECIENTE 2 NOVIEMBRE</t>
  </si>
  <si>
    <t>PREMEZCLA SANA MUNDI PAN Y PIZZA 2 NOVIEMBRE</t>
  </si>
  <si>
    <t>GALLETITAS CELIENERGY BAÑADAS NUEVAS 2 NOVIEMBRE</t>
  </si>
  <si>
    <t>ACEITE DE COCO EL COSACO 2 NOVIEMBRE</t>
  </si>
  <si>
    <t>BANANITAS XA 1KG 2 NOVIEMBRE</t>
  </si>
  <si>
    <t>BANANITAS X 500 GR 2 NOVIEMBRE</t>
  </si>
  <si>
    <t>BANANITAS X 250 GR 2 NOVIEMBRE</t>
  </si>
  <si>
    <t>BANANITAS X 100 GR 2 NOVIEMBRE</t>
  </si>
  <si>
    <t>BICARBONATO X 1 KG 2 NOVIEMBRE</t>
  </si>
  <si>
    <t>BICARBONATO X 250 GR 2 NOVIEMBRE</t>
  </si>
  <si>
    <t>BICARBONATO X 500 GR 2 NOVIEMBRE</t>
  </si>
  <si>
    <t>BICARBONATO X 80 GR 2 NOVIEMBRE</t>
  </si>
  <si>
    <t>7000 X 40 UNID</t>
  </si>
  <si>
    <t>BOCADITOS DE HIGO Y NUEZ  LOS CAROLINOS CAJA 40 UNIDADES 2 NOV.</t>
  </si>
  <si>
    <t>YUYOS STEVIA HOJAS 20GR 2 NOV.</t>
  </si>
  <si>
    <t>YUYOS STEVIA HOJAS 40 GR 2 NOV.</t>
  </si>
  <si>
    <t>CACAO AMARGO XZ 1 KG 2 NOV.</t>
  </si>
  <si>
    <t>CACAO AMARGO X 500 GR 2 NOV</t>
  </si>
  <si>
    <t>CACAO AMARGO X 100 GR 2 NOV.</t>
  </si>
  <si>
    <t>CACAO AMARGO X 200 GR (2 BOLSITAS) 2 NOV.</t>
  </si>
  <si>
    <t>CACAO AMARGO X 250 GR  2 NOV.</t>
  </si>
  <si>
    <t>PAN INTEGRAL DELI 2 NOVIEMBRE</t>
  </si>
  <si>
    <t>MERMELADA DOÑA MAGDALENA ARANDANOS STEVIA 2 NOVIEMBRE</t>
  </si>
  <si>
    <t>PAN BREAD NET TODOS 2 NOVIEMBRE</t>
  </si>
  <si>
    <t>TABLETA DDL CON STEVIA DOÑA MAGDALENA 25GR 2 NOVIEMBRE</t>
  </si>
  <si>
    <t>CHOCOLATINAS SIN AZ. DOÑA MAGDALENA 2 NOVIEMBRE</t>
  </si>
  <si>
    <t>COCO EN ESCAMAS XA1 KG 9 NOV.</t>
  </si>
  <si>
    <t>COCO EN ESCAMAS X 500 GR 9 NOV.</t>
  </si>
  <si>
    <t>COCO EN ESCAMAS X 50 GR 9 NOV.</t>
  </si>
  <si>
    <t>COCO EN ESCAMAS X 250 GR 9 NOV.</t>
  </si>
  <si>
    <t>COCO EN ESCAMAS X 100 GRS 9 NOV.</t>
  </si>
  <si>
    <t>CIRUELAS BOMBON 250GR $160 COMPOTERA 9 NOV.</t>
  </si>
  <si>
    <t>CIRUELAS BOMBON X 500 GR $140 COMP. 9 NOV.</t>
  </si>
  <si>
    <t>CIRUELAS BOMBON X 1KG 2 COMPOT. 9 NOV.</t>
  </si>
  <si>
    <t>DATILES ARGELIA XZ 1KG 9 NOV.</t>
  </si>
  <si>
    <t>DATILES ARGELIA X 500 GR 9 NOV.</t>
  </si>
  <si>
    <t>DATILES ARGELIA X 250 GR 9 NOV.</t>
  </si>
  <si>
    <t>DATILES ARGELIA 300 GR 2 BOLSITAS 9 NOV.</t>
  </si>
  <si>
    <t>DATILES ARGELIA 150GR 9 NOV.</t>
  </si>
  <si>
    <t>FRUTA ESCURRIDA X 1KG 9 NOV.</t>
  </si>
  <si>
    <t>FRUTA ESCURRIDA X 500 GR 9 NOV.</t>
  </si>
  <si>
    <t>FRUTA ESCURRIDA X 250 GR 9 NOV.</t>
  </si>
  <si>
    <t>FRUTA NEVADA ZX 1 KG 9 NOV.</t>
  </si>
  <si>
    <t>FRUTA NEVADA X 500 GR 9 NOV</t>
  </si>
  <si>
    <t>FRUTA NEVADA X 250 GR 9 NOV</t>
  </si>
  <si>
    <t>FRUTA NEVADA 150 GR 9 NOV</t>
  </si>
  <si>
    <t>GELATINA SIN SABOR X 250 GR 9 NOVIEMBRE</t>
  </si>
  <si>
    <t>GELATINA SIN SABOR X 100 GR 9 NOVIEMBRE</t>
  </si>
  <si>
    <t>GELATINA SIN SABOR X 50 GR 9 NOVIEMBRE</t>
  </si>
  <si>
    <t>CHIPS GOTITAS SEMIAMARGO XZ 1 KG 9 NOVIEMBRE</t>
  </si>
  <si>
    <t>CHIPS GOTITAS SEMIAMARGO X 70 GR 9 NOV</t>
  </si>
  <si>
    <t>CHIPS GOTITAS SEMIAMARGO X 500 GR 9 NOV.</t>
  </si>
  <si>
    <t>CHIPS GOTITAS SEMIAMARGO X 250 GRS 9 NOV</t>
  </si>
  <si>
    <t>CHIPS GOTITAS SEMIAMARGO X 150GR GRS 9 NOV.</t>
  </si>
  <si>
    <t>CHIPS GOTITAS SEMIAMARGO X 100 GR 9 NOV.</t>
  </si>
  <si>
    <t>GRANOLA ORAN X 250 GR 9 NOV.</t>
  </si>
  <si>
    <t>GRANOLA ORAN 500 GR 9 NOV.</t>
  </si>
  <si>
    <t>GRANOLA ORAN 1 KG  9 NOV.</t>
  </si>
  <si>
    <t>HARINA DE ALMENDRAS SIN PIEL Z 1KG 9 NOV.</t>
  </si>
  <si>
    <t>HARINA DE ALMENDRAS SIN PIEL X 500 GR 9 NOV</t>
  </si>
  <si>
    <t>HARINA DE ALMENDRAS SIN PIEL X 250 GRS 9 NOV</t>
  </si>
  <si>
    <t>HARINA DE ALMENDRAS SIN PIEL X 200 GR 9 NOV.</t>
  </si>
  <si>
    <t>HARINA DE ALMENDRAS CON PIEL Z 1KG 9 NOV.</t>
  </si>
  <si>
    <t>HARINA DE ALMENDRAS CON PIEL X 500 GR 9 NOV.</t>
  </si>
  <si>
    <t>HARINA DE ALMENDRAS CON PIEL X 250 GR 9 NOV.</t>
  </si>
  <si>
    <t>HARINA DE ALMENDRAS CON PIEL X 150 GR 9 NOV.</t>
  </si>
  <si>
    <t>HARINA DE COCO zX 1 KG 9 NOV.</t>
  </si>
  <si>
    <t>HARINA DE COCO X 500 GR 9 NOV.</t>
  </si>
  <si>
    <t>HARINA DE COCO X 250 GRS 9 NOV.</t>
  </si>
  <si>
    <t>HARINA DE COCO 200 GR 9 NOV.</t>
  </si>
  <si>
    <t>HIBISCUS O FLOR DE JAMAICA 100 GR 9 NOV.</t>
  </si>
  <si>
    <t>HIBISCUS O FLOR DE JAMAICA 25 GR 9 NOV.</t>
  </si>
  <si>
    <t>HIBISCUS O FLOR DE JAMAICA 50 GR 9 NOV.</t>
  </si>
  <si>
    <t>TINTURA MADRE OASIS TODAS MENOS YACON 9 NOV.</t>
  </si>
  <si>
    <t>MELENA DE LEON TINTURA OASIS 9 NOV.</t>
  </si>
  <si>
    <t>MELENA DE LEON LA FELIZ 9 NOV.</t>
  </si>
  <si>
    <t>TE PIPERPOL MANZANILLA 9 NOV.</t>
  </si>
  <si>
    <t>AGUA DE ROSAS 9 NOVIEMBRE</t>
  </si>
  <si>
    <t>YUYOS SEN HOJAS SUELTO X 50 GR 9 NOV.</t>
  </si>
  <si>
    <t>CROCANTE DE MANI 300 GR 9 NOV.</t>
  </si>
  <si>
    <t>CROCANTE DE MANI 150 GR 9 NOV.</t>
  </si>
  <si>
    <t>CROCANTE DE MANI 100 GR 9 NOV</t>
  </si>
  <si>
    <t>MIX PARA PAN DULCE PREMIUM ZX 1 KG 9 NOV</t>
  </si>
  <si>
    <t>MIX PARA PAN DULCE PREMIUM X 500 GR 9 NOV</t>
  </si>
  <si>
    <t>MIX PARA PAN DULCE PREMIUM X 250GR 9 NOV</t>
  </si>
  <si>
    <t>MIX PARA PAN DULCE PREMIUM X 150 GR 9 NOV</t>
  </si>
  <si>
    <t>MOLDE PARA PAN DULCE DE 250GR 9 NOV.</t>
  </si>
  <si>
    <t>MOLDE PARA PAN DULCE DE 500 GR 9 NOV.</t>
  </si>
  <si>
    <t>MOLDE PARA PAN DULCE DE 1 KG 9 NOV.</t>
  </si>
  <si>
    <t>ALMENDRAS CHOCO X 500 GR 9 NOV.</t>
  </si>
  <si>
    <t>ALMENDRAS CHOCO X 250 GR 9 NOV.</t>
  </si>
  <si>
    <t>ALMENDRAS CHOCO X 150 GR 9 NOV.</t>
  </si>
  <si>
    <t>ALMENDRAS CHOCO ZX 1 KG 9 NOV.</t>
  </si>
  <si>
    <t>ALMENDRAS CHOCO AX 70 GR 9 NOV.</t>
  </si>
  <si>
    <t>MANI CHOCO ZX 1KG 9 NOV.</t>
  </si>
  <si>
    <t>MANI CHOCO AX 80 GR 25 AGOSTO</t>
  </si>
  <si>
    <t>MANI CHOCO X 500 GR 9 NOV.</t>
  </si>
  <si>
    <t>PASAS CHOCO ZX 1 KG 9 NOV</t>
  </si>
  <si>
    <t>MANI CHOCO X 150GR 25 AGOSTO</t>
  </si>
  <si>
    <t>MANI CHOCO X 250 GR 9 NOV.</t>
  </si>
  <si>
    <t>PASAS CHOCO X 500 GR 9 NOV.</t>
  </si>
  <si>
    <t>PASAS CHOCO X 250 GR 9 NOV.</t>
  </si>
  <si>
    <t>PASAS CHOCO X 150 GR 9 NOV.</t>
  </si>
  <si>
    <t>PASAS CHOCO AX 80 GR 9 NOV.</t>
  </si>
  <si>
    <t>SEMILLAS LINO COMUN Y DORADO X 140 GR 20 MAYO</t>
  </si>
  <si>
    <t>MIX DE SEMILLAS PREMIUM FLORA X 500 GR 9 NOV</t>
  </si>
  <si>
    <t>MIX DE SEMILLAS PREMIUM FLORA X 250 GR 9 NOV</t>
  </si>
  <si>
    <t>MIX DE SEMILLAS PREMIUM FLORA ZX 1 KG 9 NOV</t>
  </si>
  <si>
    <t>MIX DE SEMILLAS PREMIUM FLORA X 130 GR 9 NOV.</t>
  </si>
  <si>
    <t>SEMILLAS GIRASOL 120 GR 9 NOV.</t>
  </si>
  <si>
    <t>SEMILLAS GIRASOL Z1KG 9 NOV.</t>
  </si>
  <si>
    <t>SEMILLAS GIRASOL 500 GR 9 NOV</t>
  </si>
  <si>
    <t>SEMILLAS GIRASOL 250GR 9 NOV.</t>
  </si>
  <si>
    <t>BARRITAS ORAN XZ 1KG 9 NOVIEMBRE</t>
  </si>
  <si>
    <t>BARRITAS ORAN X 500 GR 9 NOVIEMBRE</t>
  </si>
  <si>
    <t>BARRITAS ORAN X 200 GR 9 NOVIEMBRE</t>
  </si>
  <si>
    <t>BARRITAS ORAN X 100 GR 9 NOVIEMBRE</t>
  </si>
  <si>
    <t>ALFAJOR BREAD NET INTEGRAL/ALGARROBA 9 NOV.</t>
  </si>
  <si>
    <t>GRANOLA KUATI CHOCOLATE X 250GR 9 NOV.</t>
  </si>
  <si>
    <t>PROVENZAL 50 GR 9 NOV</t>
  </si>
  <si>
    <t>PROVENZAL 250 GR 9 NOV.</t>
  </si>
  <si>
    <t>AROMA DE AZAHAR EL PROCAL 35CC PAN DULCE 9 NOV.</t>
  </si>
  <si>
    <t>CHIPS DE CHOCOLATE ALPINO X 500 GR 9 NOV</t>
  </si>
  <si>
    <t>CHIPS DE CHOCOLATE ALPINO ZX 1KG 9 NOV</t>
  </si>
  <si>
    <t>CHIPS DE CHOCOLATE ALPINO X 250 GR 9 NOV.</t>
  </si>
  <si>
    <t>CHIPS DE CHOCOLATE ALPINO X 150 GR 9 NOV.</t>
  </si>
  <si>
    <t>KALENA YERBA ROJA X 500 GRS 9 NOV.</t>
  </si>
  <si>
    <t>ARROZ INTEGRAL GRANO ELEGIDO X 1KG 9 NOVIEMBRE</t>
  </si>
  <si>
    <t>ARROZ INTEGRAL GRANO ELEGIDO X 500 GR 9 NOVIEMBRE</t>
  </si>
  <si>
    <t>YUYOS CARQUEJA 85 GR 9 NOV.</t>
  </si>
  <si>
    <t>HONGOS DE PINO X 500 GR 12 NOV</t>
  </si>
  <si>
    <t>HONGOS DE PINO X 250 GR 12 NOV.</t>
  </si>
  <si>
    <t>HONGOS DE PINO X 150 GR 12 NOV.</t>
  </si>
  <si>
    <t>HONGOS DE PINO X 100 GR 12 NOV.</t>
  </si>
  <si>
    <t>HONGOS DE PINO AX 50 GR 12 NOV.</t>
  </si>
  <si>
    <t>HUANG HE 12 NOV.</t>
  </si>
  <si>
    <t>LINAZA MARRON/DORADA ZX1 KG 12 NOV.</t>
  </si>
  <si>
    <t>LINAZA MARRON/DORADA X 250 GR 12 NOV.</t>
  </si>
  <si>
    <t>LINAZA MARRON/DORADA X 500 GR 12 NOV.</t>
  </si>
  <si>
    <t>MACA KALPA 500GR 12 NOV.</t>
  </si>
  <si>
    <t>MACA KALPA X 250 GR 12 NOV.</t>
  </si>
  <si>
    <t>MACA NEGRA SOBRE 150GR 12 NOV.</t>
  </si>
  <si>
    <t>MACA ROJA SOBRE 12 NOV.</t>
  </si>
  <si>
    <t>YUYOS MANZANILLA SUELTA 50GR 12 NOVIEMBRE</t>
  </si>
  <si>
    <t>YUYOS MANZANILLA SUELTA 30 GR 12 NOVIEMBRE</t>
  </si>
  <si>
    <t>AZUCAR MASCABO ZX 1KG 12 NOV.</t>
  </si>
  <si>
    <t>AZUCAR MASCABO X 500 GRS 12 NOV.</t>
  </si>
  <si>
    <t>AZUCAR MASCABO X 250 GR 12 NOV.</t>
  </si>
  <si>
    <t>MIEL CON ACEITE DE CARPINCHO 12 NOV.</t>
  </si>
  <si>
    <t>MIX DE SEMILLAS XZ 1KG 12 NOV.</t>
  </si>
  <si>
    <t>MIX DE SEMILLAS X 500 GR 12 NOV.</t>
  </si>
  <si>
    <t>MIX DE SEMILLAS X 250 GR 12 NOV.</t>
  </si>
  <si>
    <t>MIX DE SEMILLAS X 150GR 12 NOV.</t>
  </si>
  <si>
    <t>NUECES CUARTOS EXTRA LIGHT 1 KG 12 NOV.</t>
  </si>
  <si>
    <t>NUECES CUARTOS EXTRA LIGHT 250 GR 12 NOV.</t>
  </si>
  <si>
    <t>NUEZ MOSCADA C/U 12 NOV.</t>
  </si>
  <si>
    <t>PASAS MOROCHAS X 1 KG 12 NOV.</t>
  </si>
  <si>
    <t>PASAS MOROCHAS 500 GR 12 NOV.</t>
  </si>
  <si>
    <t>PASAS MOROCHAS 250 GR 12 NOV.</t>
  </si>
  <si>
    <t>PASAS MOROCHAS 150 GR 12 NOV.</t>
  </si>
  <si>
    <t>PASAS JUMBO XZ 1KG 12 NOV.</t>
  </si>
  <si>
    <t>PASAS JUMBO X 500 GR 12 NOV.</t>
  </si>
  <si>
    <t>PASAS JUMBO X 250 GR 12 NOV.</t>
  </si>
  <si>
    <t>PASAS JUMBO X 150 GR 12.NOV</t>
  </si>
  <si>
    <t>PASTA DE MANI ENTRE NUTS NATURAL 12 NOV.</t>
  </si>
  <si>
    <t>PASTA DE MANI DELIS 12 NOV.</t>
  </si>
  <si>
    <t>POLEN GRANULADO X 200GR 12 NOV.</t>
  </si>
  <si>
    <t>POLEN GRANULADO X 100 GR 12 NOV.</t>
  </si>
  <si>
    <t>SAL HIMALAYA ROSA FINA/GRUESA X 500 GR 12 NOV.</t>
  </si>
  <si>
    <t>SAL HIMALAYA ROSA FINA/GRUESA X 250 GR 12 NOV.</t>
  </si>
  <si>
    <t>SAL HIMALAYA ROSA FINA/ GRUESA X  1 KG 12 NOV.</t>
  </si>
  <si>
    <t>ACEITE CANABIS AL  40% ROYAL 12 NOV.</t>
  </si>
  <si>
    <t>SEMILLAS DE HINOJO X 70 GR 12 NOV.</t>
  </si>
  <si>
    <t>SEMILLAS DE HINOJO X 500 GR 12 NOV.</t>
  </si>
  <si>
    <t>SEMILLAS DE HINOJO X 250 GR 12 NOV.</t>
  </si>
  <si>
    <t>SEMILLAS DE HINOJO X 1 KG 12 NOV.</t>
  </si>
  <si>
    <t>SEMILLAS DE HINOJO 140 GR (2 BOLSITAS) 12 NOV.</t>
  </si>
  <si>
    <t>TOMATES SECOS XZ 1 KG 12 NOV.</t>
  </si>
  <si>
    <t>TOMATES SECOS X 500 GR 12 NOV.</t>
  </si>
  <si>
    <t>TOMATES SECOS X 250GR 12 NOV.</t>
  </si>
  <si>
    <t>TOMATES SECOS X 150GR 12 NOV.</t>
  </si>
  <si>
    <t>TOMATES SECOS X 100 GR 12 NOV.</t>
  </si>
  <si>
    <t>YERBA ROAPIPO TRADICIONAL X 500 GRS 12 NOV</t>
  </si>
  <si>
    <t>YERBA ROAPIPO SUAVE X 500 GRS 12 NOV.</t>
  </si>
  <si>
    <t>AJO EN POLVO X 180 GR 12 NOV</t>
  </si>
  <si>
    <t>AJO EN POLVO X 100 GR 12 NOV.</t>
  </si>
  <si>
    <t>AJO EN POLVO AX 50 GR 12 NOV.</t>
  </si>
  <si>
    <t>MUÑA MUÑA X 50 GR 12 NOV.</t>
  </si>
  <si>
    <t>MUÑA MUÑA X 100 GR 12 NOV.</t>
  </si>
  <si>
    <t>MUÑA MUÑA X 250 GR 12 NOV.</t>
  </si>
  <si>
    <t>REPELENTE DE INSECTOS BAGUES X 125ML 12 NOV</t>
  </si>
  <si>
    <t>CAFE DE ALGARROBA DICOMERE 13 NOV</t>
  </si>
  <si>
    <t>BICARBONATO X 140 GRS 2 NOVIEMBRE</t>
  </si>
  <si>
    <t>OREGANO A35 GR 13 NOV</t>
  </si>
  <si>
    <t>OREGANO B50 GR 13 NOV.</t>
  </si>
  <si>
    <t>OREGANO C100 GR 13 NOV</t>
  </si>
  <si>
    <t>OREGANO D250 GR 13 NOV</t>
  </si>
  <si>
    <t>QUICHES SU COCINA 13 NOV.</t>
  </si>
  <si>
    <t>PIZZETA SU COCINA 13 NOV.</t>
  </si>
  <si>
    <t>QUICHES SU COCINA KETO 13 NOV.</t>
  </si>
  <si>
    <t>MISKITA KETO COOKIES 16 NOV.</t>
  </si>
  <si>
    <t>MISKYTA KETO SCONES QUESO 16 NOV</t>
  </si>
  <si>
    <t>MISKITA KETO MATEROS 16 NOV</t>
  </si>
  <si>
    <t>MISKITA KETO CRAKERS PARMESANO 16 NOV.</t>
  </si>
  <si>
    <t>MISKITA KETO TALITAS CON SEMILLAS 16 NOV</t>
  </si>
  <si>
    <t>MISKITA KETO CHOCOLATOSAS 16 NOV</t>
  </si>
  <si>
    <t>MISKITA KETO ALFAJOR PISTACHO 16 NOV.</t>
  </si>
  <si>
    <t>MISKITA KETO BUDIN LIMON AMAPOLA 16 NOV</t>
  </si>
  <si>
    <t>ACEITE DE OLIVA EN AEROSOL MUSH 16 NOV.</t>
  </si>
  <si>
    <t>ACEITE DE OLIVA ZUELO INTENSO X 500 GR 16 NOV.</t>
  </si>
  <si>
    <t>VINAGRE PAMPA GOURMET DE MANZA ORGANICO X 250 ML 16 NOV</t>
  </si>
  <si>
    <t>ESENCIA DE ALMENDRAS 30CC EL CASTILLO 16 NOV.</t>
  </si>
  <si>
    <t>ESENCIA DE COCO/LIMON FLEIBOR X 30CC 2 NOVIEMBRE</t>
  </si>
  <si>
    <t>EXTRACTO DE VAINILLA LIQUIDA NATURAL  EL CASTILLO 30 CC 16 NOV.</t>
  </si>
  <si>
    <t>HARINA DE CHIA X 250 GR  16 NOV</t>
  </si>
  <si>
    <t>HARINA DE CHIA X 500 GR 16 NOV</t>
  </si>
  <si>
    <t>HARINA DE CHIA Z X 1 KG 16 NOV</t>
  </si>
  <si>
    <t>JUGO SMUDIS X 500 ML TODOS 16 NOV.</t>
  </si>
  <si>
    <t>ESPECIERO DE SIETE ESPECIAS BAHARAT X 40 GR 16 NOV.</t>
  </si>
  <si>
    <t>INTEGRA BARRITA PROTEICA 16 NOV.</t>
  </si>
  <si>
    <t>BARRITA NOT PROTEIN BAR BERRIES/CARAMELO 16 NOV.</t>
  </si>
  <si>
    <t>TE HEREDIA RELAX 16 NOV</t>
  </si>
  <si>
    <t>TE HEREDIA ENERGY 16 NOV.</t>
  </si>
  <si>
    <t>PAPAS NUESTROS SABORES PAPAS RUSTICAS 16 NOV.</t>
  </si>
  <si>
    <t>SNACK NUESTROS SABORES CHICOS 50 GR TODOS 16 NOV</t>
  </si>
  <si>
    <t>ORMUS 500 ML 16 NOV.</t>
  </si>
  <si>
    <t>TAPA PASCUALINA ARGENTI CONGELADA 16 NOV</t>
  </si>
  <si>
    <t>BYGIRITOS X 400 GR</t>
  </si>
  <si>
    <t>PIPER POL  GOTAS ARNICA 7 SEPT.</t>
  </si>
  <si>
    <t>PIPER POL  GOTAS DIENTE DE LEON 7 SEPT.</t>
  </si>
  <si>
    <t>PIPERPOL GOTAS ROMPEPIEDRAS 25 SEPT.</t>
  </si>
  <si>
    <t>PIPER POL GOTAS DIABETES 16 NOV.</t>
  </si>
  <si>
    <t>HARINA DE MANI TOSTADO SAVONA FIT X 500 GR 16 NOV</t>
  </si>
  <si>
    <t>HARINA DE MANI TOSTADO SAVONA FIT X 250 GR 16 NOV</t>
  </si>
  <si>
    <t>FELICES JAMON EN FETAS  150 GR 16 NOV.</t>
  </si>
  <si>
    <t>ANIMAL KING BIZCOCHITOS 170 GR 16 NOV.</t>
  </si>
  <si>
    <t>BARRITA CRUDDA ARANDANOS Y NUEZ 16 NOV</t>
  </si>
  <si>
    <t>ACETO BALSAMICO GULLO 250 ML 16 NOV.</t>
  </si>
  <si>
    <t>ACETO BALSAMICO GULLO ESPECIADO 250ML 16 NOV.</t>
  </si>
  <si>
    <t>GUADALEST LICOR AL CHOCOLATE X 1 KG 16 NOV</t>
  </si>
  <si>
    <t>GUADALEST LICOR AL CHOCOLATE X 100 GR 16 NOV</t>
  </si>
  <si>
    <t>COCO RALLADO X 100 GRS 17 NOV</t>
  </si>
  <si>
    <t>COCO RALLADO X 200 GR 17 NOV.</t>
  </si>
  <si>
    <t>COCO RALLADO X 250 GR 17 NOV.</t>
  </si>
  <si>
    <t>COCO RALLADO X 500 GR 17 NOV.</t>
  </si>
  <si>
    <t>COCO RALLADO XA1KG 17 NOV.</t>
  </si>
  <si>
    <t>JALEA REAL 20 NOVIEMBRE</t>
  </si>
  <si>
    <t>MIEL APICOLA DEL TUYU MEDIANA 500 GR 18 NOV.</t>
  </si>
  <si>
    <t>MIEL APICOLA DEL TUYU GRANDE X 1 KG 18 NOV</t>
  </si>
  <si>
    <t>MIEL APICOLA DEL TUYU CHICA 250 GR 18 NOV</t>
  </si>
  <si>
    <t>PROPOLEO APICOLA DEL TUYU 20 NOV.</t>
  </si>
  <si>
    <t>MIX PARA PAN DULCE FLORA SIN PASAS XZ 1 KG 25 NOV</t>
  </si>
  <si>
    <t>MIX PARA PAN DULCE FLORA SIN PASAS X 500 GR 25 NOV</t>
  </si>
  <si>
    <t>MIX PARA PAN DULCE FLORA SIN PASAS X 250 GR 25 NOV.</t>
  </si>
  <si>
    <t>MIX PARA PAN DULCE FLORA ZX 1 KG 25 NOV.</t>
  </si>
  <si>
    <t>MIX PARA PAN DULCE FLORA X 500 GR 25 NOV.</t>
  </si>
  <si>
    <t>MIX PARA PAN DULCE FLORA X 250 GR 25 NOV.</t>
  </si>
  <si>
    <t>MIX PARA PAN DULCE FLORA X 150 GR 25 NOV.</t>
  </si>
  <si>
    <t>GRANOLA HOMEOMADE TASTE Z 1KG 25 NOV.</t>
  </si>
  <si>
    <t>GRANOLA HOMEOMADE TASTE 500 GR 25 NOV.</t>
  </si>
  <si>
    <t>GRANOLA HOMEOMADE TASTE 250 GR 25 NOV.</t>
  </si>
  <si>
    <t>LENTEJAS TURCAS XZ 1 KG 25 NOV.</t>
  </si>
  <si>
    <t>LENTEJAS TURCAS X 500 GR 25 NOV.</t>
  </si>
  <si>
    <t>LENTEJAS TURCAS X 250GR 25 NOV.</t>
  </si>
  <si>
    <t>GARBANZOS 9MM XZ 1 KG 25 NOV.</t>
  </si>
  <si>
    <t>GARBANZOS 9MM X 500 GR 25 NOVIEMBRE</t>
  </si>
  <si>
    <t>GARBANZOS 9MM X 250 GRS 25 NOVIEMBRE</t>
  </si>
  <si>
    <t>QUINOA BLANCA XZ 1KG 25 NOV</t>
  </si>
  <si>
    <t>QUINOA BLANCA X 500 KG 25 NOV.</t>
  </si>
  <si>
    <t>QUINOA BLANCA X 250 GRS 25 NOV.</t>
  </si>
  <si>
    <t>ACEITE DE OLIVA SOL CUYANO 25 NOV.</t>
  </si>
  <si>
    <t>ACEITE DE CHIA SOL AZTECA 250 CC 25 NOV.</t>
  </si>
  <si>
    <t>KALENA YERBA DESPALADA AZUL X 500 GRS 25 NOV.</t>
  </si>
  <si>
    <t>ACEITE DE LINO SOL AZTECA 250 CC 25 NOV.</t>
  </si>
  <si>
    <t>FIDEOS LILEN LARGOS TODOS 500 GR 25 NOV.</t>
  </si>
  <si>
    <t>FIDEOS LILEN INTEGRALES 250 GR 25 NOV.</t>
  </si>
  <si>
    <t>SALSA DE SOJA SAKANASHI AMARILLA/ROJA 450CC 25 NOV.</t>
  </si>
  <si>
    <t>PREMEZCLA DELICEL ÑOQUIS X 500 GR 25 NOV.</t>
  </si>
  <si>
    <t>SEMILLAS SESAMO BLANCO Y NEGRO XZ 1KG 25 NOV.</t>
  </si>
  <si>
    <t>SEMILLAS SESAMO BLANCO Y NEGRO X 500GR 25 NOV.</t>
  </si>
  <si>
    <t>SEMILLAS SESAMO BLANCO Y NEGRO X 250GR 25 NOV.</t>
  </si>
  <si>
    <t>SEMILLAS SESAMO BLANCO Y NEGRO X 100GR 25 NOV</t>
  </si>
  <si>
    <t>SEMILLAS SESAMO BLANCO Y NEGRO A X 50 GR 25 NOV</t>
  </si>
  <si>
    <t>SEMILLAS ZAPALLO CHINO ZX 1KG 25 NOV.</t>
  </si>
  <si>
    <t>SEMILLAS ZAPALLO CHINO X 500 GR 25 NOV.</t>
  </si>
  <si>
    <t>SEMILLAS ZAPALLO CHINO X 250 GR 25 NOV.</t>
  </si>
  <si>
    <t>SEMILLAS ZAPALLO CHINO X 200 GR (2 BOLSITAS) 25 NOV.</t>
  </si>
  <si>
    <t>SEMILLAS ZAPALLO CHINO X 100GR 25 NOV.</t>
  </si>
  <si>
    <t>ALMOHADITAS ZX 1KG 25 NOV</t>
  </si>
  <si>
    <t>ALMOHADITAS X 80GR 25 NOV</t>
  </si>
  <si>
    <t>ALMOHADITAS X 500 GR 25 NOV.</t>
  </si>
  <si>
    <t>ALMOHADITAS X 250 GR 25 NOV.</t>
  </si>
  <si>
    <t>ALMOHADITAS X 120 GR 25 NOV.</t>
  </si>
  <si>
    <t>FIBRAS BASTONES DE SALVADO X 70 GR 25 NOV.</t>
  </si>
  <si>
    <t>FIBRAS BASTONES DE SALVADO X 250 GRS 25 NOV.</t>
  </si>
  <si>
    <t>ERITRITOL ANDINO NAT X 200 GR 25 NOV.</t>
  </si>
  <si>
    <t>JUAL STEVIA 125 ML 25 NOV</t>
  </si>
  <si>
    <t>JUAL STEVIA 250 ML 25 NOV.</t>
  </si>
  <si>
    <t>VITAMINA B 12 100 COMPRIMIDOS 25 NOV</t>
  </si>
  <si>
    <t>GALLETA DELUXE BAÑADAS YOG FRUTILLA / CHOCOLATE X 108 GR 25 NOV</t>
  </si>
  <si>
    <t>DIMAX BIZCOCHITOS SABOR QUESO 25 NOV.</t>
  </si>
  <si>
    <t>PAN DULCE SMAMS CHIPS CHOCO X 500 GR 25 NOV.</t>
  </si>
  <si>
    <t>ALGAS NORY YAKI 10 HOJAS 25 NOV</t>
  </si>
  <si>
    <t>PREMEZCLA DELICEL UNIVERSAL 500GR  25 NOV</t>
  </si>
  <si>
    <t>PREMEZCLA DELICEL PIZZA X 500 GRS 25 NOV.</t>
  </si>
  <si>
    <t>PREMEZCLA DELICEL PAN X 500 GRS 25 NOV.</t>
  </si>
  <si>
    <t>PREMEZCLA DELICEL BIZCOCHUELO VAIN X 500 GRS 25 NOV.</t>
  </si>
  <si>
    <t>PREMEZCLA DELICEL BIZCOCHUELO CHOC X 500 GRS 25 NOV.</t>
  </si>
  <si>
    <t>PANCO JAPONES 250GRS 25 NOV.</t>
  </si>
  <si>
    <t>LAS QUINAS DULCE DE LECHE  STEVIA 450GR 25 NOV.</t>
  </si>
  <si>
    <t>MERMELADA LAS QUINAS SIN AZUCAR VARIAS 25 NOV.</t>
  </si>
  <si>
    <t>MIEL LAS QUINAS  EUCALIPTUS 25 NOV.</t>
  </si>
  <si>
    <t>SALSA DE SOJA BITARWAN LIGHT X 250 CC 25 NOV</t>
  </si>
  <si>
    <t>SAL SIN SODIO SALUSIN X 70 GR 25 NOV.</t>
  </si>
  <si>
    <t>PREMEZCLA DELICEL  7 PAN INTEGRAL 500 GR 25 NOV.</t>
  </si>
  <si>
    <t>OREGANO 25 GR 25 NOV</t>
  </si>
  <si>
    <t>REBOZADOR KETO SUELTO X 330 GR 25 NOV</t>
  </si>
  <si>
    <t>DATILES POTE 200 GR 25 NOV.</t>
  </si>
  <si>
    <t>KIT VIVIR CURCUMA + PIMIENTA NEGRA POTE 500 MG 25 NOV.</t>
  </si>
  <si>
    <t>KIT VIVIR CITRATO DE MAGNESIO EN POLVO 200GR 25 NOV.</t>
  </si>
  <si>
    <t>VITATECH GUARANA + VITAMINA E 60 COMP. 25 NOV.</t>
  </si>
  <si>
    <t>CITRATO DE MAGNESIO 30 CAPSULAS INCAICO 25 NOV</t>
  </si>
  <si>
    <t>CARAMELOS EN LATA ARANDANO Y STEVIA 25 NOVIEMBRE</t>
  </si>
  <si>
    <t>LA FELIZ REISHI HONGO ADAPTOGENO 25 NOV</t>
  </si>
  <si>
    <t>FUSION ACONDICIONADOR SOLIDO 25 NOV.</t>
  </si>
  <si>
    <t>DABAR SOLUCION FRECUENCIAL 500 ML 25 NOV</t>
  </si>
  <si>
    <t>ORGANIKAL CURCUMA Y PIMIENTA NEGRA 60 CAPSULAS 25 NOV.</t>
  </si>
  <si>
    <t>JUGO DE ARANDANOS RINCON DE VIDA 1,5 LTS 25 NOVIEMBRE</t>
  </si>
  <si>
    <t>DONINAS GALLETITAS 25 NOVIEMBRE</t>
  </si>
  <si>
    <t>MERMELADA REGIDIET DURAZNO/FRUTILLA 25 NOV.</t>
  </si>
  <si>
    <t>FIDEOS EL COLONO 300 GR SIN TACC 25 NOV.</t>
  </si>
  <si>
    <t>FIDEOS EMILIA INTEGRALES TIRABUZON 25 NOV.</t>
  </si>
  <si>
    <t>FIDEOS EMILIA CENTENO PENNE RIGATE 500GR 25 NOV.</t>
  </si>
  <si>
    <t>FIDEOS EMILIA NIDO 25 NOV.</t>
  </si>
  <si>
    <t>FIDEOS ANDIAMO TIRABUZON INTEGRAL DE AVENA/REMOLACHA 25 NOV.</t>
  </si>
  <si>
    <t>COPOS DE MAIZ SIN AZUCAR X 1 KG 25 NOV.</t>
  </si>
  <si>
    <t>COPOS DE MAIZ SIN AZUCAR X 500 GR 25 NOV.</t>
  </si>
  <si>
    <t>COPOS DE MAIZ SIN AZUCAR X 170 GR 25 NOVIEMBRE</t>
  </si>
  <si>
    <t>COPOS DE MAIZ SIN AZUCAR X 250 GR 25 NOV.</t>
  </si>
  <si>
    <t>POROTOS ADZUKI X 1KG 25 NOV</t>
  </si>
  <si>
    <t>POROTOS ADZUKI X 250 GRS 25 NOV</t>
  </si>
  <si>
    <t>POROTOS ADZUKI X 500 GR 25 NOV</t>
  </si>
  <si>
    <t>POROTOS DE SOJA X 1 KG 25 NOV.</t>
  </si>
  <si>
    <t>POROTOS DE SOJA X 500 GR 25 NOV</t>
  </si>
  <si>
    <t>ARROZ PARA SUSHI KOSHIHIKARI XZ 1 KG 25 NOV</t>
  </si>
  <si>
    <t>ARROZ PARA SUSHI KOSHIHIKARI X 500 GR 25 NOV</t>
  </si>
  <si>
    <t>ARROZ PARA SUSHI KOSHIHIKARI X 250 GR 25 NOV</t>
  </si>
  <si>
    <t>SEMILLAS SESAMO INTEGRAL X 1KG 25 NOV.</t>
  </si>
  <si>
    <t>SEMILLAS SESAMO INTEGRAL X 100 GR 25 NOV</t>
  </si>
  <si>
    <t>SEMILLAS SESAMO INTEGRAL X 250 GR 25 NOV.</t>
  </si>
  <si>
    <t>SEMILLAS SESAMO INTEGRAL X 500 GR 25 NOV.</t>
  </si>
  <si>
    <t>AVENA INSTANTANEA / TRADICIONAL/GRUESA /FINAX KILO 25 NOV</t>
  </si>
  <si>
    <t>AVENA INSTANTANEA /TRADICIONAL /GRUESA/FINA X  500 GR 25 NOV.</t>
  </si>
  <si>
    <t>MIEL DE CAÑA 750 CC 25 NOV. MUNDO MARINO X 6 BOTELLAS</t>
  </si>
  <si>
    <t xml:space="preserve">MIEL DE CAÑA 750 CC 25 NOV. </t>
  </si>
  <si>
    <t>MIX FRUTOS ROJOS CONGELADOS X 250 GR 25 NOV.</t>
  </si>
  <si>
    <t>TOFU SOY LAND 320 GR 25 NOV.</t>
  </si>
  <si>
    <t>PASAS JUMBO X 125 GR 25 NOV.</t>
  </si>
  <si>
    <t>PASAS JUMBO X 200 GR 25 NOV</t>
  </si>
  <si>
    <t>PASAS RUBIAS X 200 GR 25 NOV.</t>
  </si>
  <si>
    <t>PASAS RUBIAS X 125 GR 25 NOV</t>
  </si>
  <si>
    <t>PASAS RUBIAS X 150GR 25 NOV.</t>
  </si>
  <si>
    <t>PASAS RUBIAS X 250 GR 25 NOV.</t>
  </si>
  <si>
    <t>YERBA CACHAMATE COCO 500 GR 25 NOV.</t>
  </si>
  <si>
    <t>DULCE DE MEMBRILLO ORIETA 25 NOV.</t>
  </si>
  <si>
    <t>GALLETITAS NATURALES CON SEMILLAS 180 GR 25 NOV</t>
  </si>
  <si>
    <t>TOSTADAS PROTEICAS RIERA 25 NOV.</t>
  </si>
  <si>
    <t>PREMEZCLAS CHACABUCO TODAS 25 NOV.</t>
  </si>
  <si>
    <t>BIBA LECHE DE AVENA 25 NOV.</t>
  </si>
  <si>
    <t>BARRITA BARRA BRAVA 25 OCTUBRE</t>
  </si>
  <si>
    <t>YUYOS MANZANILLA X 100 GR 28 NOV</t>
  </si>
  <si>
    <t>LIBRE TAQUITOS 4 DIC.</t>
  </si>
  <si>
    <t>LIBRE GALLETITAS ARTESANALES TODAS 4 DIC.</t>
  </si>
  <si>
    <t>SNACKS LELEMUU X 50GR 4 DIC</t>
  </si>
  <si>
    <t>TOSTADAS LEIVA DE ARROZ SIN SAL 4 DIC.</t>
  </si>
  <si>
    <t>YUYOS CENTELLA ASIATICA 25 GR 4 DIC</t>
  </si>
  <si>
    <t>YUYOS CENTELLA ASIATICA 40 GR 4 DIC.</t>
  </si>
  <si>
    <t>YUYOS ARTEMISA 45 GR 4 DIC.</t>
  </si>
  <si>
    <t>CERVEZA IPA SOL DE INVIERNO 4 DIC</t>
  </si>
  <si>
    <t>ACEITE DE OLIVA ZUELO ORIGINAL /SUAVE X 500 ML 4 DIC.</t>
  </si>
  <si>
    <t>ACEITE DE OLIVA ZUELO ORGANICO E IG 250 ML 4 DIC.</t>
  </si>
  <si>
    <t>ALBUMINA DE HUEVO EN POLVO DICOMERE 120GR 4 DIC.</t>
  </si>
  <si>
    <t>EPUYEN ALFAJORES SIN AZUCAR TODOS 4 DICIEMBRE</t>
  </si>
  <si>
    <t>SOL DE INVIERNO PIZZETAS SOLAS X 2 UNID. 4 DIC</t>
  </si>
  <si>
    <t>SOL DE INVIERNO PAN DE MOLDE 4 DIC.</t>
  </si>
  <si>
    <t>SANDWICH JAMON Y QUESO 4 DIC.</t>
  </si>
  <si>
    <t>SOL DE INVIERNO EMPANADAS X 3 UNID.4 DIC</t>
  </si>
  <si>
    <t>SOL DE INVIERNO TARTINES CALABAZA Y CHOCLO X 2 UNID 4 DIC.</t>
  </si>
  <si>
    <t>SOL DE INVIERNO CALZONE 4 DIC.</t>
  </si>
  <si>
    <t>SOL DE INVIERNO BUDIN MARMOLADO/VAINILLA/NUEZ  4 DIC.</t>
  </si>
  <si>
    <t>SOL DE INVIERNO GALLETITAS CHIPS/MEMBRILLO 4 DIC</t>
  </si>
  <si>
    <t>PAN RALLADO SMAMS 350 GR 4 DIC</t>
  </si>
  <si>
    <t>ESPECIERO GARAM MASALA X 40 GR 4 DIC</t>
  </si>
  <si>
    <t>INTEGRA BARRITA BASE DE CHOC Y ARANDANOS X 4 DIC</t>
  </si>
  <si>
    <t>INTEGRA BARRITA CACAO CHIPS DE CHOC X 4 DIC</t>
  </si>
  <si>
    <t>LADDUBAR BARRITA BROWNIE DATILES TODAS 4 DIC</t>
  </si>
  <si>
    <t>TAPA PASCUALINA ARGENTI 4 DIC</t>
  </si>
  <si>
    <t>TOFU SOYANA ORGANICO MARINADO Y SAZONADO 150 GR 4 DIC</t>
  </si>
  <si>
    <t>YOGURT BEAUDROIT TODOS ENTERO NATURAL SIN AZUCAR 4 DIC.</t>
  </si>
  <si>
    <t>GALLETITAS GRANIX SESAMO / LINO 4 DIC</t>
  </si>
  <si>
    <t>CEREZAS AL MARRASCHINO ABETO 4 DIC.</t>
  </si>
  <si>
    <t>TOSTADAS RIERA SEMILLAS 4 DIC.</t>
  </si>
  <si>
    <t>YUYOS MELISA/TORONGIL 35 GR 4 DIC.</t>
  </si>
  <si>
    <t>LOS ALERCES PAN DULCE SIN AZUCAR 4 DIC.</t>
  </si>
  <si>
    <t>LOS ALERCES BUDIN SIN AZUCAR 4 DIC</t>
  </si>
  <si>
    <t>LOS ALERCES BUDIN SOUFLE DE ALMENDRAS 4 DIC.</t>
  </si>
  <si>
    <t>SOL DE INVIERNO MILANESAS DE SOJA SIN LACTOSA 4 DIC</t>
  </si>
  <si>
    <t>SOL DE INVIERNO PAN PARA HAMBURGUESA X 4 4 DIC</t>
  </si>
  <si>
    <t>SOL DE INVIERNO PIZZETAS CON MUZZA DE TOMATE X 2 UNID. 4 DIC</t>
  </si>
  <si>
    <t>SOL DE INVIERNO RAVIOLES VERDURA /RICOTA X 12 UNID. 4 DIC</t>
  </si>
  <si>
    <t>SOJA TEXTURIZADA GRUESA/FINA X 500 gr 4 DIC</t>
  </si>
  <si>
    <t>SOJA TEXTURIZADA GRUESA/FINA ZX 1 KG 4 DIC</t>
  </si>
  <si>
    <t>SOJA TEXTURIZADA GRUESA/FINA X 250 GR 4 DIC</t>
  </si>
  <si>
    <t>GALLETITAS CERAL INTEGRALES SIN AZUCAR TODAS 4 DIC.</t>
  </si>
  <si>
    <t>REDONDELAS MARROC X 100 GR 4 DIC.</t>
  </si>
  <si>
    <t>REDONDELAS MARROC X 250 GR 4 DIC.</t>
  </si>
  <si>
    <t>REDONDELAS MARROC X 150 GR 4 DIC.</t>
  </si>
  <si>
    <t>REDONDELAS MARROC X 500 GR 4 DIC.</t>
  </si>
  <si>
    <t>LENTEJAS X 1 KG 4 DIC</t>
  </si>
  <si>
    <t>LENTEJAS X 250 GRS 4 DIC.</t>
  </si>
  <si>
    <t>LENTEJAS X 500GR 4 DIC.</t>
  </si>
  <si>
    <t>JENGIBRE X 250 GR 4 DIC</t>
  </si>
  <si>
    <t>JENGIBRE X 100GR 4 DIC</t>
  </si>
  <si>
    <t>JENGIBRE AX 50 GR 4 DIC.</t>
  </si>
  <si>
    <t>LEVADURA TITAN NUTRICIONAL X 200 GR 4 DIC</t>
  </si>
  <si>
    <t>LEVADURA NUTRILEVA QUESO 200 GR 4 DIC</t>
  </si>
  <si>
    <t>LEVADURA NUTRILEVA NATURAL 4 DIC</t>
  </si>
  <si>
    <t>FECULA DE MANDIOCA X 1 KG 4 DIC</t>
  </si>
  <si>
    <t>FECULA DE MANDIOCA X 250 GR 4 DIC</t>
  </si>
  <si>
    <t>FECULA DE MANDIOCA X 500 GR 4 DIC</t>
  </si>
  <si>
    <t>CANNABIS CREMA POMADA PARA EL DOLOR 100GR 4 DIC</t>
  </si>
  <si>
    <t>MERMELADA SINGLUKO FRUTILLA 4 DIC.</t>
  </si>
  <si>
    <t>MERMELADA SINGLUKO ARANDANOS 4 DIC</t>
  </si>
  <si>
    <t>ROCKETS LENTEJAS CHOCO ZX 1 KG 4 DIC</t>
  </si>
  <si>
    <t>ROCKETS LENTEJAS CHOCO X 500 GR 4 DIC.</t>
  </si>
  <si>
    <t>ROCKETS LENTEJAS CHOCO X 250 GR 4 DIC</t>
  </si>
  <si>
    <t>ROCKETS LENTEJAS CHOCO X 150 GRS 4 DIC</t>
  </si>
  <si>
    <t>ROCKETS LENTEJAS CHOCO 1X 80 GR 4 DIC</t>
  </si>
  <si>
    <t>ALFAJOR CELIENERGY 4 DIC.</t>
  </si>
  <si>
    <t>GALLETITAS CELIENERGY 4 DIC</t>
  </si>
  <si>
    <t>ALCOHOL DE CEREAL 4 DIC.</t>
  </si>
  <si>
    <t>AZUCAR NEGRO X 1 KG 4 DIC</t>
  </si>
  <si>
    <t>AZUCAR NEGRO X 250 GR 4 DIC</t>
  </si>
  <si>
    <t>AZUCAR NEGRO X 500 GR 4 DIC</t>
  </si>
  <si>
    <t>SOYARROZ FIDEOS VARIOS 300 GR 4 DIC</t>
  </si>
  <si>
    <t>FIDEOS MATARAZZO  SPAGUETTI 4 DIC</t>
  </si>
  <si>
    <t>FIDEOS MATARAZZO PENNE RIGATE 4 DIC</t>
  </si>
  <si>
    <t>FIDEOS MATARAZZO TIRABUZON 4 DIC</t>
  </si>
  <si>
    <t>SAL MARINA MACROZEN FINA 500 GR 4 DIC</t>
  </si>
  <si>
    <t>TORTA DE FRUTAS YERUTI 4 DIC</t>
  </si>
  <si>
    <t>TE MATCHA VERDE EN POLVO PABLO 4 DIC</t>
  </si>
  <si>
    <t>YERBA IVU ORGANICA 4 DIC</t>
  </si>
  <si>
    <t>YUYOS COLA DE CABALLO 50 GR 4 DIC</t>
  </si>
  <si>
    <t>YUYOS COLA DE CABALLO 30 GR 4 DIC</t>
  </si>
  <si>
    <t>TOSTADAS CARILO CON Y SIN SAL 4 DIC</t>
  </si>
  <si>
    <t>ARANDANOS CHOCO ZX 1 KG 4 DIC</t>
  </si>
  <si>
    <t>ARANDANOS CHOCO X 500 GR 4 DIC</t>
  </si>
  <si>
    <t>ARANDANOS CHOCO X 250 GR 4 DIC</t>
  </si>
  <si>
    <t>ARANDANOS CHOCO X 150 GR 4 DIC</t>
  </si>
  <si>
    <t>ARANDANOS CHOCO AX 70 GRS 4 DIC</t>
  </si>
  <si>
    <t>PREMEZCLA SANTA MARIA ROJA Y VERDE X 1 KG 4 DIC</t>
  </si>
  <si>
    <t>PREMEZCLA GLUTAL 1 KG 4 DIC</t>
  </si>
  <si>
    <t>MERMELADA SINGLUKO NARANJA 4 DIC.</t>
  </si>
  <si>
    <t>MERMELADA SINGLUKO CIRUELA 4 DIC</t>
  </si>
  <si>
    <t>MERMELADA SINGLUKO ZAPALLO 4 DIC</t>
  </si>
  <si>
    <t>MERMELADA SINGLUKO HIGO 4 DIC</t>
  </si>
  <si>
    <t>MERMELADA SINGLUKO DURAZNO 4 DIC</t>
  </si>
  <si>
    <t>MERMELADA SINGLUKO FRUTOS ROJOS 4 DIC</t>
  </si>
  <si>
    <t>ESENCIA DE VAINILLA GELL SINGH X 100CC 4 DIC</t>
  </si>
  <si>
    <t>ESENCIA PARA PAN DULCE X 100CC MAYANA 4 DIC</t>
  </si>
  <si>
    <t>SAL MARINA GELL SINGH FINA 500 GR 4 DIC</t>
  </si>
  <si>
    <t>SAL SIN SODIO GELL SINGH X 70 GR 4 DIC</t>
  </si>
  <si>
    <t>SAL SIN SODIO ARGENDIET X 70 GR 4 DIC</t>
  </si>
  <si>
    <t>CURCUMA PURA 50 GR 4 DIC</t>
  </si>
  <si>
    <t>CURCUMA PURA 250 GR 4 DIC</t>
  </si>
  <si>
    <t>CURCUMA PURA 100 GR 4 DIC</t>
  </si>
  <si>
    <t>ESPECIAS SURTIDAS PARA REPOSTERIA 250 GR 4 DIC</t>
  </si>
  <si>
    <t>ESPECIAS SURTIDAS PARA REPOSTERIA 100 GR 4 DIC</t>
  </si>
  <si>
    <t>CALDO SUELTO SIN SAL AGREGADA SIN GRASA 250 GR 4 DIC.</t>
  </si>
  <si>
    <t>CALDO SUELTO SIN SAL AGREGADA SIN GRASA 150 GR 4 DIC.</t>
  </si>
  <si>
    <t>TOMILLO 40 GR 4 DIC</t>
  </si>
  <si>
    <t>TOMILLO 100 GR 4 DIC</t>
  </si>
  <si>
    <t>CEBADA EN COPOS X 1KG 4 DIC</t>
  </si>
  <si>
    <t>CEBADA EN COPOS X 500 GR 4 DIC</t>
  </si>
  <si>
    <t>CEBADA EN COPOS X 250 GR 4 DIC</t>
  </si>
  <si>
    <t>HARINA DE AVENA X 500 GRS 4 DIC</t>
  </si>
  <si>
    <t>HARINA DE AVENA 4 DIC</t>
  </si>
  <si>
    <t>HARINA DE CENTENO X 1KG 4 DIC</t>
  </si>
  <si>
    <t>HARINA DE CENTENO X 500 GR 4 DIC.</t>
  </si>
  <si>
    <t>HIGOS NEGROS X 200 GR COMP.$ 200 4 DIC</t>
  </si>
  <si>
    <t>HIGOS NEGROS X 400 GR 2 COMPOTERAS 4 DIC</t>
  </si>
  <si>
    <t>HARINA DE ALMENDRAS PREMIUM ZX 1 KG 4 DIC</t>
  </si>
  <si>
    <t>HARINA DE ALMENDRAS PREMIUM X 500 GR 4 DIC.</t>
  </si>
  <si>
    <t>HARINA DE ALMENDRAS PREMIUM X 200 GR 4 DIC</t>
  </si>
  <si>
    <t>ALMENDRAS GUARA XZ 1 KG 4 DIC</t>
  </si>
  <si>
    <t>ALMENDRAS GUARA X 500 GR 4 DIC</t>
  </si>
  <si>
    <t>ALMENDRAS GUARA X 250 GR 4 DIC</t>
  </si>
  <si>
    <t>ALMENDRAS GUARA X 100 GRS 4 DIC</t>
  </si>
  <si>
    <t>ALMENDRAS NON PAREIL X 100 GR 4 DIC</t>
  </si>
  <si>
    <t>ALMENDRAS NON PAREIL X 250 GR 4 DIC</t>
  </si>
  <si>
    <t>ALMENDRAS NON PAREIL X 500 GR 4 DIC</t>
  </si>
  <si>
    <t>ALMENDRAS NON PAREIL XZ 1 KG 4 DIC</t>
  </si>
  <si>
    <t>AVELLANAS X A 1KG 4 DIC</t>
  </si>
  <si>
    <t>AVELLANAS X 500 GRS 4 DIC</t>
  </si>
  <si>
    <t>AVELLANAS X 250 GR 4 DIC</t>
  </si>
  <si>
    <t>AVELLANAS X 100 GRS 4 DIC</t>
  </si>
  <si>
    <t>CASTAÑAS DE CAJU XZ 1KG 4 DIC</t>
  </si>
  <si>
    <t>CASTAÑAS DE CAJU X 500 GR 4 DIC</t>
  </si>
  <si>
    <t>CASTAÑAS CAJU X 250 GR 4 DIC</t>
  </si>
  <si>
    <t>CASTAÑAS  CAJU X 100 GRS 4 DIC</t>
  </si>
  <si>
    <t>MAIZ FRITO ESPAÑOL BARBACOA XZ 1 KG 4 DIC</t>
  </si>
  <si>
    <t>MAIZ FRITO ESPAÑOL BARBACOA X 500 GR 4 DIC</t>
  </si>
  <si>
    <t>MAIZ FRITO ESPAÑOL BARBACOA X 250 GR 4 DIC</t>
  </si>
  <si>
    <t>MAIZ FRITO ESPAÑOL BARBACOA X 120 GR 4 DIC</t>
  </si>
  <si>
    <t>MAIZ FRITO ESPAÑOL BARBACOA X 100 GR 4 DIC</t>
  </si>
  <si>
    <t>MAIZ FRITO NATURAL EDUARDO 100 GR 4 DIC</t>
  </si>
  <si>
    <t>MAIZ FRITO NATURAL EDUARDO 200 GR GR 4 DIC</t>
  </si>
  <si>
    <t>MAIZ FRITO NATURAL EDUARDO X 500 GR 4 DIC</t>
  </si>
  <si>
    <t>MAIZ FRITO NATURAL EDUARDO ZX 1 KG 4 DIC</t>
  </si>
  <si>
    <t>MANI CERVECERO X 500 GR 4 DIC</t>
  </si>
  <si>
    <t>MANI CERVECERO X 250 GR 4 DIC</t>
  </si>
  <si>
    <t>MANI CERVECERO X 180 GR200GRS 4 DIC</t>
  </si>
  <si>
    <t>MANI CON Y SIN SAL EDUARDO XZ 1KG 4 DIC</t>
  </si>
  <si>
    <t>MANI CON Y SIN SAL EDUARDO X 500 GR 4 DIC</t>
  </si>
  <si>
    <t>MANI CON Y SIN SAL EDUARDO X 250 GRS 4 DIC.</t>
  </si>
  <si>
    <t>MANI CON Y SIN SAL EDUARDO X 150 GR 4 DIC</t>
  </si>
  <si>
    <t>MANI CON Y SIN SAL EDUARDO X 125 GRS 4 DIC</t>
  </si>
  <si>
    <t>MANI VAINA XZ 1 KG 4 DIC</t>
  </si>
  <si>
    <t>MANI VAINA X 500 GR 4 DIC</t>
  </si>
  <si>
    <t>MANI VAINA X 250 GR 4 DIC</t>
  </si>
  <si>
    <t>MANI VAINA X 150 gr 4 DIC</t>
  </si>
  <si>
    <t>MIX CERVECERO EDUARDO 150 GR 4 DIC</t>
  </si>
  <si>
    <t>MIX CERVECERO EDUARDO 250 GR 4 DIC</t>
  </si>
  <si>
    <t>MIX CERVECERO EDUARDO 500 GR 4 DIC</t>
  </si>
  <si>
    <t>MIX CERVECERO EDUARDO X 1 KG 4 DIC</t>
  </si>
  <si>
    <t>MIX SALADO PREMIUM DAM XZ 1KG 4 DIC</t>
  </si>
  <si>
    <t>MIX SALADO PREMIUM DAM X 500 GR 4 DIC</t>
  </si>
  <si>
    <t>MIX SALADO PREMIUM DAM X 250GR 4 DIC</t>
  </si>
  <si>
    <t>MIX SALADO PREMIUM DAM X 150GR 4 DIC</t>
  </si>
  <si>
    <t xml:space="preserve">NUECES CUARTOS EXTRA LIGHT 500 GR </t>
  </si>
  <si>
    <t>NUECES CASCARAS X 250 GR 4 DIC</t>
  </si>
  <si>
    <t>NUECES CASCARA X 500GR 4 DIC</t>
  </si>
  <si>
    <t>NUECES CASCARA X 1KG 4 DIC</t>
  </si>
  <si>
    <t>NUECES EXTRA LIGHT 1 KG 4 DIC</t>
  </si>
  <si>
    <t>NUECES EXTRA LIGHT 500 GR 4 DIC</t>
  </si>
  <si>
    <t>NUECES EXTRA LIGHT X 100 GRS 4 DIC</t>
  </si>
  <si>
    <t>NUECES EXTRA LIGHT X 250 GR 4 DIC</t>
  </si>
  <si>
    <t>PISTACHOS SALADOS ZX 1KG 4 DIC</t>
  </si>
  <si>
    <t>PISTACHOS SALADOS X 500GR 4 DIC</t>
  </si>
  <si>
    <t>PISTACHOS SALADOS X 250GR 4 DIC</t>
  </si>
  <si>
    <t>PISTACHOS SALADOS X 100 GRS 4 DIC</t>
  </si>
  <si>
    <t>NUECES PECAN ZX 1KG 4 DIC</t>
  </si>
  <si>
    <t>NUECES PECAN X 500 4 DIC</t>
  </si>
  <si>
    <t>NUECES PECAN X 250 GR 4 DIC</t>
  </si>
  <si>
    <t>NUECES PECAN X 100 GR 4 DIC</t>
  </si>
  <si>
    <t>JUAL STEVIA POLVO 220 GR 4 DIC</t>
  </si>
  <si>
    <t>ACEITE DE OREGANO GREEN ZAC 4 DIC</t>
  </si>
  <si>
    <t>MANTECA GHEE ENTRENUTS X 300 GR 4 DIC</t>
  </si>
  <si>
    <t>PLATA COLOIDAL BIO NATURAL 250 ml 4 DIC</t>
  </si>
  <si>
    <t>SPIRULINA MACRO SALUD 60 COMP. 4 DIC</t>
  </si>
  <si>
    <t>PASTA DENTAL SRI SRI 100 GR 4 DIC</t>
  </si>
  <si>
    <t>CALDO DE VERDURA ARGENDIET X 170 SIN SAL 4 DIC</t>
  </si>
  <si>
    <t>QUINOA POP X 120 GR 4 DIC</t>
  </si>
  <si>
    <t>QUINOA POP ZX 1KG 4 DIC</t>
  </si>
  <si>
    <t>QUINOA POP X 250 GR 4 DIC</t>
  </si>
  <si>
    <t>QUINOA POP X 500 GR  4 DIC</t>
  </si>
  <si>
    <t>CURCUMA EN RAIZ X 1KG 10 DIC</t>
  </si>
  <si>
    <t>JENGIBRE EN RAIZ X 1KG 10 DIC</t>
  </si>
  <si>
    <t>AJI MOLIDO ZX 1 KG 10 DIC</t>
  </si>
  <si>
    <t>AJI MOLIDO X C 250 GR 10 DIC</t>
  </si>
  <si>
    <t>AJI MOLIDO X B 100 GR 10 DIC</t>
  </si>
  <si>
    <t>AJI MOLIDO X A 50 GR 10 DIC</t>
  </si>
  <si>
    <t>AJI MOLIDO 130 GR 10 DIC</t>
  </si>
  <si>
    <t>PIMIENTA NEGRA EN GRANOS 50 GR 10 DIC.</t>
  </si>
  <si>
    <t>PIMIENTA NEGRA EN GRANOS 100 GR 10 DIC.</t>
  </si>
  <si>
    <t>CEBOLLA EN ESCAMAS X 40 GR 10 DIC.</t>
  </si>
  <si>
    <t>CEBOLLA EN ESCAMAS X 60 GR 10 DIC</t>
  </si>
  <si>
    <t>AJO GRANULADO X 50 GR 10 DIC.</t>
  </si>
  <si>
    <t>AJO GRANULADO X 100 GR 10 DIC.</t>
  </si>
  <si>
    <t>PAN LA FRANCIA GRANDE VARIOS GUSTOS 10 DIC</t>
  </si>
  <si>
    <t>INTEGRALIA PEPAS 270GR 10 DIC</t>
  </si>
  <si>
    <t xml:space="preserve">INTEGRALIA GALLETITAS ANILLOS 10 DIC </t>
  </si>
  <si>
    <t xml:space="preserve">PEPAS NILO LIFE 10 DIC </t>
  </si>
  <si>
    <t>MARIA E GALLETITAS 10 DIC</t>
  </si>
  <si>
    <t>GRANOLA MARIA E X 250 GR 10 DIC.</t>
  </si>
  <si>
    <t>GRANOLA MARIA E X 500 GR 10 DIC</t>
  </si>
  <si>
    <t>GRANOLA MARIA E ZX 1 KG 10 DIC</t>
  </si>
  <si>
    <t>LIBRE SNACKS DE QUESO /FUGAZETA/SURTIDAS 10 DIC</t>
  </si>
  <si>
    <t>AZUCAR IMPALPABLE X A1KG 10 DIC</t>
  </si>
  <si>
    <t>AZUCAR IMPALPABLE X 500GRS 10 DIC</t>
  </si>
  <si>
    <t>AZUCAR IMPALPABLE X 250 GR 10 DIC</t>
  </si>
  <si>
    <t>AZUCAR IMPALPABLE X 150 GRS 10 DIC</t>
  </si>
  <si>
    <t>ARROZ YAMANI INTEGRAL X 500 GRS 10 DIC</t>
  </si>
  <si>
    <t>ARROZ YAMANI INTEGRAL X 1 KG 10 DIC</t>
  </si>
  <si>
    <t>HARINA DE ARROZ INTEGRAL X 5 KG 10 DIC</t>
  </si>
  <si>
    <t>HARINA DE ARROZ BLANCA/INTEGRAL X 1 KG 10 DIC</t>
  </si>
  <si>
    <t>HARINA DE ARROZ BLANCA/INTEGRAL X 500 GRS 10 DIC</t>
  </si>
  <si>
    <t>MIEL LA COLMENA LIQUIDA Y CREMOSA 250 GR 10 DIC</t>
  </si>
  <si>
    <t>MIEL LA COLMENA 300 GR VERTEDOR 10 DIC</t>
  </si>
  <si>
    <t>MIEL LA COLMENA 480 GR VERTEDOR 10 DIC</t>
  </si>
  <si>
    <t>HARINA DE ALGARROBA X 1 KG 10 DIC</t>
  </si>
  <si>
    <t>HARINA DE ALGARROBA X 500 GRS 10 DIC</t>
  </si>
  <si>
    <t>HARINA DE ALGARROBA X 250GR 10 DIC</t>
  </si>
  <si>
    <t>BARRITA DONYS VEGANAS 15 DIC.</t>
  </si>
  <si>
    <t>BUDIN RAICES PANIFICADOS 15 DIC</t>
  </si>
  <si>
    <t>ALFAJOR TIEMPO VEGGIE MARPLA VEGETARIANO 15 DIC</t>
  </si>
  <si>
    <t>KAREL PAN DULCE 15 DIC.</t>
  </si>
  <si>
    <t>CHOCOLATE COLONIAL BARRA SUELTO 80%CACAO 146 GR 15 DIC</t>
  </si>
  <si>
    <t>KAREL ALFAJOR DE ALMENDRA Y DDL 15 DIC.</t>
  </si>
  <si>
    <t>KAREL CUADRADO COCO Y DDL SIN TACC 15 DIC</t>
  </si>
  <si>
    <t>KAREL GALLETITAS VAINILLA / GOTITAS CHOCO SIN TACC 15 DIC</t>
  </si>
  <si>
    <t>KAREL PASTAFROLA 15 DIC</t>
  </si>
  <si>
    <t>SOL DE INVIERNO PAN DE CAMPO 15 DIC</t>
  </si>
  <si>
    <t>GALLETITAS SANTA MARIA TODOS LOS GUSTOS 15 DIC</t>
  </si>
  <si>
    <t>GOMA XANTICA GOLSA X 50GRS 15 DIC</t>
  </si>
  <si>
    <t>TAPAS DE EMPANADAS ORALI 15 NOV</t>
  </si>
  <si>
    <t>TOSTADAS INTIPAN 150GR 15 DIC</t>
  </si>
  <si>
    <t>DANTELLI ALFAJOR CORAZON DE FRUTILLA 15 DIC</t>
  </si>
  <si>
    <t>DANTELLI ALFAJOR DDL NUEZ 15 DIC</t>
  </si>
  <si>
    <t>DANTELLI ALFAJOR H ALMENDRAS AVELLANA CAFÉ 15 DIC</t>
  </si>
  <si>
    <t>DANTELLI ALFAJORES DE MAIZENA BLISTER X 5 UNID. 15 DIC</t>
  </si>
  <si>
    <t>DANTELLI GALLETITA DE LIMON C/U 15 DIC</t>
  </si>
  <si>
    <t>DANTELLI GALLETITAS DE NARANJA X 130 GR 15 DIC</t>
  </si>
  <si>
    <t>DANTELLI GALLETITAS HORUS 90 GR 15 DIC</t>
  </si>
  <si>
    <t>DANTELLI ALFAJOR TRIPLE 15 DIC</t>
  </si>
  <si>
    <t>YUYOS AMBAY X 45 GR 15 DIC</t>
  </si>
  <si>
    <t>YUYOS ROMPEPIEDRAS ZX 1 KG 15 DIC</t>
  </si>
  <si>
    <t>YUYOS ROMPEPIEDRAS X 500 GR 15 DIC</t>
  </si>
  <si>
    <t>YUYOS ROMPEPIEDRAS X 250 GR 15 DIC</t>
  </si>
  <si>
    <t>YUYOS ROMPEPIEDRAS X 100 GR 15 DIC</t>
  </si>
  <si>
    <t>TRIGO BURGOL FINO SUELTO X 1 KG 15 DIC</t>
  </si>
  <si>
    <t>TRIGO BURGOL FINO SUELTO X 500 GR 15 DIC</t>
  </si>
  <si>
    <t>LECHE PAMPA VIDA DE ALMENDRAS SIN ENDULZAR 15 DIC</t>
  </si>
  <si>
    <t>LECHE PAMPA VIDA NUEZ PECAN 15 DIC</t>
  </si>
  <si>
    <t>ACEITE DE OLIVA LAUR EXTRA VIRGEN 250ML  15 DIC</t>
  </si>
  <si>
    <t>ACEITE DE OLIVA LAUR LATA CRUZ DE PIEDRA 500ML 15 DIC</t>
  </si>
  <si>
    <t>ACEITE DE OLIVA LAUR LATA BLEN DE TERROIR 15 DIC</t>
  </si>
  <si>
    <t>ACEITE DE OLIVA LAUR EXTRA VIRGEN 500 ML  15 DIC</t>
  </si>
  <si>
    <t>ACEITE DE OLIVA ZUELO EXTRA VIRGEN ORIGINAL X 250 15 DIC</t>
  </si>
  <si>
    <t>DICOMERE PREMEZCLA UNIVERSAL /PAN/PIZZA 450 GR 15 DIC</t>
  </si>
  <si>
    <t>RAWMESAN CRUDENCIO X 140 GR 15 DIC</t>
  </si>
  <si>
    <t>QUESO RALLADO NATURAL POP 15 DIC.</t>
  </si>
  <si>
    <t>REBOZADOR DE ARROZ DICOMERE X 450 GR 15 DIC</t>
  </si>
  <si>
    <t>HUMO LIQUIDO 260 ML 15 DIC</t>
  </si>
  <si>
    <t>ARYTZA MOSTAZA ANTIGUA/DIYON/CEASAR 15 DIC</t>
  </si>
  <si>
    <t>SALSA MALBEC JULIANA LOPEZ MAY 15 DIC</t>
  </si>
  <si>
    <t>ALFAJOR GRAN VALLE DIET 15 DIC.</t>
  </si>
  <si>
    <t>ALFAJOR FELICES LAS VACAS DDL/MEMBRILLO 15 NOV</t>
  </si>
  <si>
    <t>BARRITA VITALGY TODAS 15 DIC</t>
  </si>
  <si>
    <t>VEDANNA TE AYURVEDIC JAZMIN 15 DIC</t>
  </si>
  <si>
    <t>TE ANDROMEDA TODOS 15 DIC</t>
  </si>
  <si>
    <t>TE PIPERPOL VERDE 25 SAQUITOS 15 DIC</t>
  </si>
  <si>
    <t>CHOCOLATE COLONIAL BARRA STEVIA 70% CACAO 100 GR 15 DIC</t>
  </si>
  <si>
    <t>INTEGRA GRANOLA SIN TACC  250 GR 15 DIC.</t>
  </si>
  <si>
    <t>GALLETITAS LIMBO TODAS 15 DIC</t>
  </si>
  <si>
    <t>GALLETITAS LIMBO SNACK SALADAS 15 DIC</t>
  </si>
  <si>
    <t>TOSTADAS MOLINOS ALA INTEGRALES SIN SAL 15 DIC</t>
  </si>
  <si>
    <t>CRACKERS SMAMS SIN SAL 150 GR 15 DIC</t>
  </si>
  <si>
    <t>CRACKERS SMAMS MIX DE SEMILLAS 150 GR 15 DIC</t>
  </si>
  <si>
    <t>PAN SCHAR FRANCES X 100 GR 15 DIC</t>
  </si>
  <si>
    <t xml:space="preserve">TORTILLAS AIKEN 210GR 15 DIC </t>
  </si>
  <si>
    <t>MERMELADA DE NARANJA Y ZANAHORIA 260 GR JULIANA LOPEZ MAY 15 DIC</t>
  </si>
  <si>
    <t>MERMELADA MQA DE MEMBRILLO 310 GR 15 DIC</t>
  </si>
  <si>
    <t xml:space="preserve"> BEKEFIR X 500CC LIMO ARAND MARACUYA 15 DIC</t>
  </si>
  <si>
    <t>KOMBUCHA BRAVIA 473 CC LATA GRANDE TODAS 15 DIC</t>
  </si>
  <si>
    <t>TAPAS DE EMPANADAS ARGENTI 15 DIC</t>
  </si>
  <si>
    <t>TAPAS DE EMPANADAS ARGENTI VEGANAS 15 DIC</t>
  </si>
  <si>
    <t>NOT SALCHICHA X 250 GR 15 DIC</t>
  </si>
  <si>
    <t>FELICES QUESO CREMOSO TUBITO X 250 GR 15 DIC</t>
  </si>
  <si>
    <t>FELICES LAS VACAS UNTABLE CREMOSO 200GR 15 DIC</t>
  </si>
  <si>
    <t>HUMMUS KYROS ACEITE DE OLIVA/CLASIC/PIMENTON X 230 GR 15 DIC</t>
  </si>
  <si>
    <t>YOGURT DAHI DESCREMADO NATURAL 190GR 15 DIC</t>
  </si>
  <si>
    <t>YOGURT YOGURADE TODOS 15 DIC</t>
  </si>
  <si>
    <t>YOGURT YOGURADE BEBIBLE 250GR 15 DIC</t>
  </si>
  <si>
    <t>FELICES YOGURTTI VAINILLA 15 DIC</t>
  </si>
  <si>
    <t>YOGURT IOGO CRUDDA 15 DIC</t>
  </si>
  <si>
    <t>BURRITOS AMOEDO MIJO ZANAHORIA Y BROCOLI X 2 15 DIC</t>
  </si>
  <si>
    <t>BURRITOS AMOEDO QUINOA CALAB Y AZUL X 2 UNID 15 DIC</t>
  </si>
  <si>
    <t>BIGRIN MEDALLONES ADUKY SEMILLAS GIRASOL 480GR 15 DIC</t>
  </si>
  <si>
    <t>BIGRIN MEDALLONES QUINOA SEMILLAS GIRASOL X 480 GRS 16 DIC</t>
  </si>
  <si>
    <t>NATURALRROZ VEGAN BURGUER LENTEJAS 190 GR X 2  15 AGOSTO 15 DIC</t>
  </si>
  <si>
    <t>NATURALRROZ VEGAN MILANESA VEGAN CALABAZA ZANAH Y CHOCLOX 2 15 DIC</t>
  </si>
  <si>
    <t>NOT BURGUER PREMIUM 2.0 160 GR FLOWPACK X 2 15 DIC</t>
  </si>
  <si>
    <t>NOT BURGUER PARRILLERA 220 GR X 2 15 DIC</t>
  </si>
  <si>
    <t>ALKIMYK MILANESA SOJA ORGANICA ESPINACA Y MORRON ASADO 15 DIC</t>
  </si>
  <si>
    <t>ALKIMYK MILANESA SOJA ORGANICA CAPRESSE X 460 GRS 15 DIC.</t>
  </si>
  <si>
    <t>ALKIMYK MILANESA SOJA ORGANICA CALABAZA CURCUMA X 460 GRS 15 DIC.</t>
  </si>
  <si>
    <t>ALKIMYK MILANESA SOJA ORGANICA BROCOLI CEBOLLA ASAD 15 DIC.</t>
  </si>
  <si>
    <t>ALKIMYK SIN SAL 15 DIC.</t>
  </si>
  <si>
    <t>NOT CHICKEN MILA 220 GR 15 DIC</t>
  </si>
  <si>
    <t>NOT MEAT MILA 220 GR 15 DIC</t>
  </si>
  <si>
    <t>KARINAT BITES X 120 GR FRAMBUESAS/ARANDANOS. BAÑADAS CHOCO 15 DIC</t>
  </si>
  <si>
    <t>PIPER POL GOTAS HIPERICO 15 DIC</t>
  </si>
  <si>
    <t>SRI SRI AGUA DE ROSAS DE LA INDIA 100 ML 15 DIC</t>
  </si>
  <si>
    <t>SRI SRI MASCARILLA FACIAL CON CURCUMA DE LA INDIA 100 GR 15 DIC</t>
  </si>
  <si>
    <t>VEGANIS AGUA MICELAR DE ROSAS 250 ML 15 DIC</t>
  </si>
  <si>
    <t>ACETO BALSAMICO MILLAN 250 ML 15 DIC</t>
  </si>
  <si>
    <t>TOO GOOD HELADO CHOCO NEGRO/PEANUT BUTTER 360 CC 15 DIC</t>
  </si>
  <si>
    <t>TOFU SOYANA ORGANICO 350 GR 15 DIC</t>
  </si>
  <si>
    <t>BIGUAL BARRITA PROTEICA 15 DIC</t>
  </si>
  <si>
    <t>LIMPIADOR DE LENGUA 15 DIC</t>
  </si>
  <si>
    <t>NATIER MORINGA 50 CAPSULAS 15 DIC</t>
  </si>
  <si>
    <t>NATIER GINKGO BILOBA 50 CAPSULAS 15 DIC</t>
  </si>
  <si>
    <t>NATIER ACEITE DE OREGANO 30 CM 15 DIC</t>
  </si>
  <si>
    <t>PGN CURCUMA CAPSULAS BLISTER X 10  CAPSULAS 25 NOV.</t>
  </si>
  <si>
    <t>PGN MORINGA BLISTER X 10 CAPSULAS 15 DIC</t>
  </si>
  <si>
    <t>VITABIOSA PROBIOTICO 500ML TODOS 15 DIC</t>
  </si>
  <si>
    <t>KIT VIVIR PSYLLIUM HUSK 230 GR</t>
  </si>
  <si>
    <t>BAD MONKEY CITRATO DE MAGNESIO 150 GR 15 DIC</t>
  </si>
  <si>
    <t>BAD MONKEY ACIDO AZCORBICO VITAMINA C 15 DIC</t>
  </si>
  <si>
    <t>VITATECH CREATINA MUJER 90 GR 15 DIC</t>
  </si>
  <si>
    <t>VITATECH CITRATO DE MAGNESIO CAPSULAS 15 DIC</t>
  </si>
  <si>
    <t>NATIER PROPOLEO PLUS ( CURCUMA JENGIBRE TOMILLO)250 CM 15 DIC</t>
  </si>
  <si>
    <t>NATIER TRIPTOFANO CAPSULAS 15 DIC</t>
  </si>
  <si>
    <t>NATIER ZINC 50 CAPSULAS 15 DIC</t>
  </si>
  <si>
    <t>NATIER ALOE VERA 500 CC 15 DIC</t>
  </si>
  <si>
    <t>NATIER CENTELLA ASIATICA 50 CAPSULAS 15 DIC</t>
  </si>
  <si>
    <t>NATIER CENTELLA ASIATICA LIQUIDA 500 CC 15 DIC</t>
  </si>
  <si>
    <t>NATIER CITRATO DE MAGNESIO 50 CAPSULAS 15 DIC</t>
  </si>
  <si>
    <t>NATIER CLOROFILA LIQUIDA 15 DIC</t>
  </si>
  <si>
    <t xml:space="preserve">NATIER CURCUMA MAS PIMIENTA NEGRA 50 CAPSULAS 15 DIC </t>
  </si>
  <si>
    <t>NATIER KALE LIQUIDO 500 CC 15 DIC</t>
  </si>
  <si>
    <t>NATIER RELAX BLEND (valeriana melisa pasionaria) 50 CAPSULAS 15 DIC</t>
  </si>
  <si>
    <t>NATIER VITAMINA B 12 50 COMP. 15 DIC</t>
  </si>
  <si>
    <t>MERMELADA MASSEUBE FRUTILLA X 350G 15 DIC</t>
  </si>
  <si>
    <t>MERMELADA DOÑA MAGDALENA FRUTILLA STEVIA 15 DIC</t>
  </si>
  <si>
    <t>MANTECA GHEE DOÑA MAGDALENA 15 DIC</t>
  </si>
  <si>
    <t>DULCE DE LECHE DOÑA MAGDALENA  SIN FRUCT.STEVIA 500GR 15 DIC</t>
  </si>
  <si>
    <t>DULCE DE LECHE DOÑA MAGDALENA AVELLANA STEVIA 500GR 15 DIC</t>
  </si>
  <si>
    <t>GALLETITAS BREAD NET TODAS 15 DIC</t>
  </si>
  <si>
    <t>GALLETITAS GREEN MILLS TODAS 15 DIC</t>
  </si>
  <si>
    <t>PALMERITAS NAQUET 160 GR 15 DIC.</t>
  </si>
  <si>
    <t>CHOCOLATE COLONIAL SIN AZUCAR 55%CACAO 15 DIC</t>
  </si>
  <si>
    <t>MERMELADA DOÑA MAGADALENA DURAZNO 15 DIC</t>
  </si>
  <si>
    <t>GRANOLA KUATI MUESLI X 1 KG 15 DIC</t>
  </si>
  <si>
    <t>GRANOLA KUATI MUESLI X 250 GR 15 DIC</t>
  </si>
  <si>
    <t>GRANOLA KUATI CHOCOLATE X 1 KG 15 DIC</t>
  </si>
  <si>
    <t>CRACKINES TOSTADITAS 15 DIC</t>
  </si>
  <si>
    <t>MASSEUBE ESTUCHE X 3 MERMELADITAS 15 DIC</t>
  </si>
  <si>
    <t>BARRITA KUATI TODAS 15 DIC</t>
  </si>
  <si>
    <t>COOKIES MYLEN 15 DIC</t>
  </si>
  <si>
    <t>PAN MYLEN TODOS 15 DIC</t>
  </si>
  <si>
    <t>PEPAS MYLEN MEMBRILLO / BATATA 15 DIC</t>
  </si>
  <si>
    <t>HUMMUS KAMAR TODOS 15 DIC</t>
  </si>
  <si>
    <t>PAN SCHAR 15 DIC</t>
  </si>
  <si>
    <t>FRANUI 25 DIC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</si>
</sst>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\ #,##0;[Red]\-&quot;$&quot;\ #,##0"/>
    <numFmt numFmtId="44" formatCode="_-&quot;$&quot;\ * #,##0.00_-;\-&quot;$&quot;\ * #,##0.00_-;_-&quot;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theme="4" tint="0.7999816888943144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5">
    <xf numFmtId="0" fontId="0" fillId="0" borderId="0" xfId="0"/>
    <xf numFmtId="44" fontId="0" fillId="0" borderId="0" xfId="1" applyFont="1"/>
    <xf numFmtId="44" fontId="0" fillId="2" borderId="0" xfId="1" applyFont="1" applyFill="1"/>
    <xf numFmtId="44" fontId="0" fillId="0" borderId="0" xfId="0" applyNumberFormat="1"/>
    <xf numFmtId="0" fontId="4" fillId="0" borderId="0" xfId="0" applyFont="1" applyAlignment="1">
      <alignment horizontal="center"/>
    </xf>
    <xf numFmtId="44" fontId="4" fillId="0" borderId="0" xfId="1" applyFont="1" applyFill="1" applyBorder="1" applyAlignment="1">
      <alignment horizontal="center"/>
    </xf>
    <xf numFmtId="0" fontId="3" fillId="0" borderId="0" xfId="0" applyFont="1"/>
    <xf numFmtId="44" fontId="3" fillId="0" borderId="0" xfId="1" applyFont="1" applyFill="1" applyBorder="1"/>
    <xf numFmtId="0" fontId="2" fillId="3" borderId="1" xfId="0" applyFont="1" applyFill="1" applyBorder="1" applyAlignment="1">
      <alignment horizontal="center"/>
    </xf>
    <xf numFmtId="44" fontId="2" fillId="3" borderId="1" xfId="1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44" fontId="3" fillId="0" borderId="0" xfId="1" applyFont="1" applyFill="1" applyBorder="1" applyAlignment="1">
      <alignment horizontal="center"/>
    </xf>
    <xf numFmtId="6" fontId="3" fillId="0" borderId="0" xfId="1" applyNumberFormat="1" applyFont="1" applyFill="1" applyBorder="1"/>
    <xf numFmtId="0" fontId="0" fillId="4" borderId="0" xfId="0" applyFill="1"/>
    <xf numFmtId="44" fontId="3" fillId="0" borderId="0" xfId="1" applyFont="1" applyFill="1"/>
    <xf numFmtId="44" fontId="4" fillId="0" borderId="0" xfId="1" applyFont="1" applyFill="1" applyAlignment="1">
      <alignment horizontal="center"/>
    </xf>
    <xf numFmtId="44" fontId="3" fillId="5" borderId="2" xfId="1" applyFont="1" applyFill="1" applyBorder="1"/>
    <xf numFmtId="6" fontId="3" fillId="0" borderId="0" xfId="0" applyNumberFormat="1" applyFont="1"/>
    <xf numFmtId="44" fontId="4" fillId="0" borderId="3" xfId="1" applyFont="1" applyFill="1" applyBorder="1" applyAlignment="1">
      <alignment horizontal="center"/>
    </xf>
    <xf numFmtId="0" fontId="3" fillId="6" borderId="0" xfId="0" applyFont="1" applyFill="1"/>
    <xf numFmtId="44" fontId="2" fillId="3" borderId="3" xfId="1" applyFont="1" applyFill="1" applyBorder="1" applyAlignment="1">
      <alignment horizontal="center"/>
    </xf>
    <xf numFmtId="0" fontId="3" fillId="7" borderId="0" xfId="0" applyFont="1" applyFill="1"/>
    <xf numFmtId="44" fontId="3" fillId="7" borderId="0" xfId="1" applyFont="1" applyFill="1" applyBorder="1"/>
    <xf numFmtId="44" fontId="3" fillId="0" borderId="0" xfId="1" applyFont="1" applyFill="1" applyAlignment="1">
      <alignment horizontal="center"/>
    </xf>
    <xf numFmtId="44" fontId="3" fillId="7" borderId="0" xfId="1" applyFont="1" applyFill="1"/>
    <xf numFmtId="0" fontId="0" fillId="0" borderId="4" xfId="0" applyBorder="1"/>
    <xf numFmtId="44" fontId="0" fillId="0" borderId="4" xfId="0" applyNumberFormat="1" applyBorder="1"/>
    <xf numFmtId="44" fontId="0" fillId="0" borderId="4" xfId="1" applyFont="1" applyBorder="1"/>
    <xf numFmtId="0" fontId="0" fillId="8" borderId="4" xfId="0" applyFill="1" applyBorder="1"/>
    <xf numFmtId="44" fontId="0" fillId="8" borderId="4" xfId="0" applyNumberFormat="1" applyFill="1" applyBorder="1"/>
    <xf numFmtId="44" fontId="0" fillId="8" borderId="4" xfId="1" applyFont="1" applyFill="1" applyBorder="1"/>
    <xf numFmtId="0" fontId="0" fillId="9" borderId="4" xfId="0" applyFill="1" applyBorder="1"/>
    <xf numFmtId="44" fontId="0" fillId="9" borderId="4" xfId="0" applyNumberFormat="1" applyFill="1" applyBorder="1"/>
    <xf numFmtId="44" fontId="0" fillId="9" borderId="4" xfId="1" applyFont="1" applyFill="1" applyBorder="1"/>
    <xf numFmtId="0" fontId="3" fillId="10" borderId="0" xfId="0" applyFont="1" applyFill="1"/>
    <xf numFmtId="44" fontId="3" fillId="10" borderId="0" xfId="1" applyFont="1" applyFill="1" applyBorder="1"/>
    <xf numFmtId="44" fontId="3" fillId="0" borderId="2" xfId="1" applyFont="1" applyFill="1" applyBorder="1"/>
    <xf numFmtId="44" fontId="3" fillId="5" borderId="0" xfId="1" applyFont="1" applyFill="1" applyBorder="1"/>
    <xf numFmtId="44" fontId="3" fillId="0" borderId="0" xfId="1" applyFont="1" applyBorder="1"/>
    <xf numFmtId="0" fontId="0" fillId="11" borderId="4" xfId="0" applyFill="1" applyBorder="1"/>
    <xf numFmtId="44" fontId="0" fillId="11" borderId="4" xfId="0" applyNumberFormat="1" applyFill="1" applyBorder="1"/>
    <xf numFmtId="44" fontId="0" fillId="11" borderId="4" xfId="1" applyFont="1" applyFill="1" applyBorder="1"/>
    <xf numFmtId="0" fontId="0" fillId="12" borderId="4" xfId="0" applyFill="1" applyBorder="1"/>
    <xf numFmtId="44" fontId="0" fillId="12" borderId="4" xfId="0" applyNumberFormat="1" applyFill="1" applyBorder="1"/>
    <xf numFmtId="44" fontId="0" fillId="12" borderId="4" xfId="1" applyFont="1" applyFill="1" applyBorder="1"/>
    <xf numFmtId="0" fontId="0" fillId="13" borderId="4" xfId="0" applyFill="1" applyBorder="1"/>
    <xf numFmtId="44" fontId="0" fillId="13" borderId="4" xfId="0" applyNumberFormat="1" applyFill="1" applyBorder="1"/>
    <xf numFmtId="44" fontId="0" fillId="13" borderId="4" xfId="1" applyFont="1" applyFill="1" applyBorder="1"/>
    <xf numFmtId="0" fontId="3" fillId="8" borderId="0" xfId="0" applyFont="1" applyFill="1"/>
    <xf numFmtId="44" fontId="3" fillId="8" borderId="0" xfId="1" applyFont="1" applyFill="1" applyBorder="1"/>
    <xf numFmtId="0" fontId="3" fillId="14" borderId="0" xfId="0" applyFont="1" applyFill="1"/>
    <xf numFmtId="44" fontId="3" fillId="14" borderId="0" xfId="1" applyFont="1" applyFill="1" applyBorder="1"/>
    <xf numFmtId="0" fontId="3" fillId="4" borderId="0" xfId="0" applyFont="1" applyFill="1"/>
    <xf numFmtId="44" fontId="3" fillId="4" borderId="0" xfId="1" applyFont="1" applyFill="1" applyBorder="1"/>
    <xf numFmtId="0" fontId="3" fillId="13" borderId="0" xfId="0" applyFont="1" applyFill="1"/>
    <xf numFmtId="44" fontId="3" fillId="13" borderId="0" xfId="1" applyFont="1" applyFill="1" applyBorder="1"/>
    <xf numFmtId="44" fontId="3" fillId="15" borderId="0" xfId="1" applyFont="1" applyFill="1" applyBorder="1"/>
    <xf numFmtId="44" fontId="3" fillId="15" borderId="0" xfId="1" applyFont="1" applyFill="1"/>
    <xf numFmtId="0" fontId="0" fillId="16" borderId="4" xfId="0" applyFill="1" applyBorder="1"/>
    <xf numFmtId="44" fontId="0" fillId="16" borderId="4" xfId="0" applyNumberFormat="1" applyFill="1" applyBorder="1"/>
    <xf numFmtId="44" fontId="0" fillId="16" borderId="4" xfId="1" applyFont="1" applyFill="1" applyBorder="1"/>
    <xf numFmtId="0" fontId="0" fillId="14" borderId="4" xfId="0" applyFill="1" applyBorder="1"/>
    <xf numFmtId="44" fontId="0" fillId="14" borderId="4" xfId="0" applyNumberFormat="1" applyFill="1" applyBorder="1"/>
    <xf numFmtId="44" fontId="0" fillId="14" borderId="4" xfId="1" applyFont="1" applyFill="1" applyBorder="1"/>
    <xf numFmtId="0" fontId="3" fillId="16" borderId="0" xfId="0" applyFont="1" applyFill="1"/>
    <xf numFmtId="44" fontId="3" fillId="16" borderId="0" xfId="1" applyFont="1" applyFill="1" applyBorder="1"/>
    <xf numFmtId="0" fontId="3" fillId="11" borderId="0" xfId="0" applyFont="1" applyFill="1"/>
    <xf numFmtId="44" fontId="3" fillId="11" borderId="0" xfId="1" applyFont="1" applyFill="1" applyBorder="1"/>
    <xf numFmtId="0" fontId="3" fillId="17" borderId="0" xfId="0" applyFont="1" applyFill="1"/>
    <xf numFmtId="44" fontId="3" fillId="17" borderId="0" xfId="1" applyFont="1" applyFill="1" applyBorder="1"/>
    <xf numFmtId="44" fontId="3" fillId="17" borderId="0" xfId="1" applyFont="1" applyFill="1"/>
    <xf numFmtId="0" fontId="3" fillId="18" borderId="0" xfId="0" applyFont="1" applyFill="1"/>
    <xf numFmtId="44" fontId="3" fillId="18" borderId="0" xfId="1" applyFont="1" applyFill="1" applyBorder="1"/>
    <xf numFmtId="44" fontId="3" fillId="10" borderId="0" xfId="1" applyFont="1" applyFill="1"/>
    <xf numFmtId="0" fontId="3" fillId="19" borderId="0" xfId="0" applyFont="1" applyFill="1"/>
    <xf numFmtId="44" fontId="3" fillId="19" borderId="0" xfId="1" applyFont="1" applyFill="1" applyBorder="1"/>
    <xf numFmtId="0" fontId="3" fillId="20" borderId="0" xfId="0" applyFont="1" applyFill="1"/>
    <xf numFmtId="44" fontId="3" fillId="20" borderId="0" xfId="1" applyFont="1" applyFill="1" applyBorder="1"/>
    <xf numFmtId="0" fontId="0" fillId="10" borderId="4" xfId="0" applyFill="1" applyBorder="1"/>
    <xf numFmtId="44" fontId="0" fillId="10" borderId="4" xfId="0" applyNumberFormat="1" applyFill="1" applyBorder="1"/>
    <xf numFmtId="44" fontId="0" fillId="10" borderId="4" xfId="1" applyFont="1" applyFill="1" applyBorder="1"/>
    <xf numFmtId="0" fontId="0" fillId="18" borderId="0" xfId="0" applyFill="1"/>
    <xf numFmtId="44" fontId="0" fillId="18" borderId="0" xfId="0" applyNumberFormat="1" applyFill="1"/>
    <xf numFmtId="44" fontId="3" fillId="18" borderId="0" xfId="1" applyFont="1" applyFill="1"/>
    <xf numFmtId="44" fontId="3" fillId="21" borderId="0" xfId="1" applyFont="1" applyFill="1" applyBorder="1"/>
    <xf numFmtId="0" fontId="3" fillId="22" borderId="0" xfId="0" applyFont="1" applyFill="1"/>
    <xf numFmtId="44" fontId="3" fillId="22" borderId="0" xfId="1" applyFont="1" applyFill="1" applyBorder="1"/>
    <xf numFmtId="0" fontId="3" fillId="23" borderId="0" xfId="0" applyFont="1" applyFill="1"/>
    <xf numFmtId="44" fontId="3" fillId="23" borderId="0" xfId="1" applyFont="1" applyFill="1" applyBorder="1"/>
    <xf numFmtId="44" fontId="3" fillId="23" borderId="0" xfId="1" applyFont="1" applyFill="1"/>
    <xf numFmtId="0" fontId="3" fillId="24" borderId="0" xfId="0" applyFont="1" applyFill="1"/>
    <xf numFmtId="44" fontId="3" fillId="24" borderId="0" xfId="1" applyFont="1" applyFill="1" applyBorder="1"/>
    <xf numFmtId="0" fontId="3" fillId="25" borderId="0" xfId="0" applyFont="1" applyFill="1"/>
    <xf numFmtId="44" fontId="3" fillId="13" borderId="0" xfId="1" applyFont="1" applyFill="1"/>
    <xf numFmtId="44" fontId="3" fillId="14" borderId="0" xfId="1" applyFont="1" applyFill="1"/>
    <xf numFmtId="44" fontId="3" fillId="4" borderId="0" xfId="1" applyFont="1" applyFill="1"/>
    <xf numFmtId="44" fontId="3" fillId="10" borderId="2" xfId="1" applyFont="1" applyFill="1" applyBorder="1"/>
    <xf numFmtId="44" fontId="3" fillId="26" borderId="2" xfId="1" applyFont="1" applyFill="1" applyBorder="1"/>
    <xf numFmtId="0" fontId="3" fillId="27" borderId="0" xfId="0" applyFont="1" applyFill="1"/>
    <xf numFmtId="44" fontId="3" fillId="27" borderId="0" xfId="1" applyFont="1" applyFill="1" applyBorder="1"/>
    <xf numFmtId="0" fontId="0" fillId="18" borderId="4" xfId="0" applyFill="1" applyBorder="1"/>
    <xf numFmtId="44" fontId="0" fillId="18" borderId="4" xfId="0" applyNumberFormat="1" applyFill="1" applyBorder="1"/>
    <xf numFmtId="44" fontId="0" fillId="18" borderId="4" xfId="1" applyFont="1" applyFill="1" applyBorder="1"/>
    <xf numFmtId="44" fontId="3" fillId="29" borderId="0" xfId="1" applyFont="1" applyFill="1" applyBorder="1"/>
    <xf numFmtId="44" fontId="3" fillId="25" borderId="0" xfId="1" applyFont="1" applyFill="1" applyBorder="1"/>
    <xf numFmtId="44" fontId="3" fillId="8" borderId="0" xfId="1" applyFont="1" applyFill="1"/>
    <xf numFmtId="44" fontId="3" fillId="22" borderId="0" xfId="1" applyFont="1" applyFill="1"/>
    <xf numFmtId="44" fontId="3" fillId="24" borderId="0" xfId="1" applyFont="1" applyFill="1"/>
    <xf numFmtId="44" fontId="3" fillId="16" borderId="0" xfId="1" applyFont="1" applyFill="1"/>
    <xf numFmtId="0" fontId="0" fillId="17" borderId="4" xfId="0" applyFill="1" applyBorder="1"/>
    <xf numFmtId="44" fontId="0" fillId="17" borderId="4" xfId="0" applyNumberFormat="1" applyFill="1" applyBorder="1"/>
    <xf numFmtId="44" fontId="0" fillId="17" borderId="4" xfId="1" applyFont="1" applyFill="1" applyBorder="1"/>
    <xf numFmtId="0" fontId="0" fillId="4" borderId="4" xfId="0" applyFill="1" applyBorder="1"/>
    <xf numFmtId="44" fontId="0" fillId="4" borderId="4" xfId="0" applyNumberFormat="1" applyFill="1" applyBorder="1"/>
    <xf numFmtId="44" fontId="0" fillId="4" borderId="4" xfId="1" applyFont="1" applyFill="1" applyBorder="1"/>
    <xf numFmtId="44" fontId="3" fillId="27" borderId="0" xfId="1" applyFont="1" applyFill="1"/>
    <xf numFmtId="0" fontId="0" fillId="15" borderId="4" xfId="0" applyFill="1" applyBorder="1"/>
    <xf numFmtId="44" fontId="0" fillId="15" borderId="4" xfId="0" applyNumberFormat="1" applyFill="1" applyBorder="1"/>
    <xf numFmtId="44" fontId="0" fillId="15" borderId="4" xfId="1" applyFont="1" applyFill="1" applyBorder="1"/>
    <xf numFmtId="44" fontId="3" fillId="11" borderId="0" xfId="1" applyFont="1" applyFill="1"/>
    <xf numFmtId="0" fontId="3" fillId="30" borderId="0" xfId="0" applyFont="1" applyFill="1"/>
    <xf numFmtId="44" fontId="3" fillId="30" borderId="0" xfId="1" applyFont="1" applyFill="1" applyBorder="1"/>
    <xf numFmtId="0" fontId="3" fillId="31" borderId="0" xfId="0" applyFont="1" applyFill="1"/>
    <xf numFmtId="44" fontId="3" fillId="31" borderId="0" xfId="1" applyFont="1" applyFill="1" applyBorder="1"/>
    <xf numFmtId="0" fontId="3" fillId="9" borderId="0" xfId="0" applyFont="1" applyFill="1"/>
    <xf numFmtId="44" fontId="3" fillId="9" borderId="0" xfId="1" applyFont="1" applyFill="1" applyBorder="1"/>
    <xf numFmtId="44" fontId="3" fillId="16" borderId="2" xfId="1" applyFont="1" applyFill="1" applyBorder="1"/>
    <xf numFmtId="44" fontId="3" fillId="28" borderId="0" xfId="1" applyFont="1" applyFill="1" applyBorder="1"/>
    <xf numFmtId="44" fontId="3" fillId="18" borderId="2" xfId="1" applyFont="1" applyFill="1" applyBorder="1"/>
    <xf numFmtId="0" fontId="0" fillId="11" borderId="0" xfId="0" applyFill="1"/>
    <xf numFmtId="44" fontId="0" fillId="0" borderId="4" xfId="1" applyFont="1" applyFill="1" applyBorder="1"/>
    <xf numFmtId="0" fontId="0" fillId="24" borderId="4" xfId="0" applyFill="1" applyBorder="1"/>
    <xf numFmtId="44" fontId="0" fillId="24" borderId="4" xfId="0" applyNumberFormat="1" applyFill="1" applyBorder="1"/>
    <xf numFmtId="44" fontId="0" fillId="24" borderId="4" xfId="1" applyFont="1" applyFill="1" applyBorder="1"/>
    <xf numFmtId="44" fontId="3" fillId="24" borderId="2" xfId="1" applyFont="1" applyFill="1" applyBorder="1"/>
    <xf numFmtId="44" fontId="3" fillId="10" borderId="0" xfId="0" applyNumberFormat="1" applyFont="1" applyFill="1"/>
    <xf numFmtId="44" fontId="3" fillId="0" borderId="0" xfId="0" applyNumberFormat="1" applyFont="1"/>
    <xf numFmtId="44" fontId="3" fillId="13" borderId="0" xfId="0" applyNumberFormat="1" applyFont="1" applyFill="1"/>
    <xf numFmtId="44" fontId="3" fillId="4" borderId="0" xfId="0" applyNumberFormat="1" applyFont="1" applyFill="1"/>
    <xf numFmtId="44" fontId="3" fillId="8" borderId="0" xfId="0" applyNumberFormat="1" applyFont="1" applyFill="1"/>
    <xf numFmtId="6" fontId="3" fillId="13" borderId="0" xfId="0" applyNumberFormat="1" applyFont="1" applyFill="1"/>
    <xf numFmtId="6" fontId="3" fillId="13" borderId="0" xfId="1" applyNumberFormat="1" applyFont="1" applyFill="1" applyBorder="1"/>
    <xf numFmtId="0" fontId="3" fillId="13" borderId="4" xfId="0" applyFont="1" applyFill="1" applyBorder="1"/>
    <xf numFmtId="44" fontId="3" fillId="13" borderId="4" xfId="1" applyFont="1" applyFill="1" applyBorder="1"/>
    <xf numFmtId="44" fontId="3" fillId="11" borderId="4" xfId="1" applyFont="1" applyFill="1" applyBorder="1"/>
    <xf numFmtId="44" fontId="0" fillId="0" borderId="0" xfId="1" applyFont="1" applyFill="1" applyBorder="1"/>
    <xf numFmtId="44" fontId="3" fillId="10" borderId="4" xfId="1" applyFont="1" applyFill="1" applyBorder="1"/>
    <xf numFmtId="44" fontId="3" fillId="0" borderId="3" xfId="1" applyFont="1" applyFill="1" applyBorder="1" applyAlignment="1">
      <alignment horizontal="center"/>
    </xf>
    <xf numFmtId="0" fontId="3" fillId="0" borderId="4" xfId="0" applyFont="1" applyBorder="1"/>
    <xf numFmtId="44" fontId="3" fillId="0" borderId="4" xfId="1" applyFont="1" applyFill="1" applyBorder="1"/>
    <xf numFmtId="0" fontId="0" fillId="32" borderId="4" xfId="0" applyFill="1" applyBorder="1"/>
    <xf numFmtId="44" fontId="0" fillId="32" borderId="4" xfId="0" applyNumberFormat="1" applyFill="1" applyBorder="1"/>
    <xf numFmtId="44" fontId="0" fillId="32" borderId="4" xfId="1" applyFont="1" applyFill="1" applyBorder="1"/>
    <xf numFmtId="0" fontId="3" fillId="8" borderId="4" xfId="0" applyFont="1" applyFill="1" applyBorder="1"/>
    <xf numFmtId="44" fontId="3" fillId="8" borderId="4" xfId="1" applyFont="1" applyFill="1" applyBorder="1"/>
    <xf numFmtId="6" fontId="3" fillId="16" borderId="0" xfId="0" applyNumberFormat="1" applyFont="1" applyFill="1"/>
    <xf numFmtId="6" fontId="3" fillId="16" borderId="0" xfId="1" applyNumberFormat="1" applyFont="1" applyFill="1" applyBorder="1"/>
    <xf numFmtId="44" fontId="3" fillId="16" borderId="0" xfId="0" applyNumberFormat="1" applyFont="1" applyFill="1"/>
    <xf numFmtId="0" fontId="3" fillId="16" borderId="4" xfId="0" applyFont="1" applyFill="1" applyBorder="1"/>
    <xf numFmtId="0" fontId="0" fillId="25" borderId="4" xfId="0" applyFill="1" applyBorder="1"/>
    <xf numFmtId="44" fontId="0" fillId="25" borderId="4" xfId="0" applyNumberFormat="1" applyFill="1" applyBorder="1"/>
    <xf numFmtId="44" fontId="0" fillId="25" borderId="4" xfId="1" applyFont="1" applyFill="1" applyBorder="1"/>
    <xf numFmtId="0" fontId="0" fillId="22" borderId="4" xfId="0" applyFill="1" applyBorder="1"/>
    <xf numFmtId="44" fontId="0" fillId="22" borderId="4" xfId="0" applyNumberFormat="1" applyFill="1" applyBorder="1"/>
    <xf numFmtId="44" fontId="0" fillId="22" borderId="4" xfId="1" applyFont="1" applyFill="1" applyBorder="1"/>
    <xf numFmtId="0" fontId="3" fillId="32" borderId="0" xfId="0" applyFont="1" applyFill="1"/>
    <xf numFmtId="44" fontId="3" fillId="32" borderId="0" xfId="1" applyFont="1" applyFill="1" applyBorder="1"/>
    <xf numFmtId="6" fontId="3" fillId="0" borderId="4" xfId="1" applyNumberFormat="1" applyFont="1" applyFill="1" applyBorder="1"/>
    <xf numFmtId="44" fontId="3" fillId="13" borderId="2" xfId="1" applyFont="1" applyFill="1" applyBorder="1"/>
    <xf numFmtId="44" fontId="3" fillId="33" borderId="2" xfId="1" applyFont="1" applyFill="1" applyBorder="1"/>
    <xf numFmtId="0" fontId="3" fillId="11" borderId="4" xfId="0" applyFont="1" applyFill="1" applyBorder="1"/>
    <xf numFmtId="0" fontId="3" fillId="10" borderId="4" xfId="0" applyFont="1" applyFill="1" applyBorder="1"/>
    <xf numFmtId="44" fontId="0" fillId="18" borderId="0" xfId="1" applyFont="1" applyFill="1" applyBorder="1"/>
    <xf numFmtId="0" fontId="3" fillId="15" borderId="0" xfId="0" applyFont="1" applyFill="1"/>
    <xf numFmtId="6" fontId="3" fillId="24" borderId="0" xfId="1" applyNumberFormat="1" applyFont="1" applyFill="1" applyBorder="1"/>
    <xf numFmtId="0" fontId="3" fillId="23" borderId="4" xfId="0" applyFont="1" applyFill="1" applyBorder="1"/>
    <xf numFmtId="44" fontId="3" fillId="23" borderId="4" xfId="1" applyFont="1" applyFill="1" applyBorder="1"/>
    <xf numFmtId="44" fontId="3" fillId="33" borderId="0" xfId="1" applyFont="1" applyFill="1" applyBorder="1"/>
    <xf numFmtId="0" fontId="3" fillId="18" borderId="4" xfId="0" applyFont="1" applyFill="1" applyBorder="1"/>
    <xf numFmtId="44" fontId="3" fillId="18" borderId="4" xfId="1" applyFont="1" applyFill="1" applyBorder="1"/>
    <xf numFmtId="44" fontId="0" fillId="0" borderId="0" xfId="1" applyFont="1" applyBorder="1"/>
    <xf numFmtId="0" fontId="0" fillId="13" borderId="0" xfId="0" applyFill="1"/>
    <xf numFmtId="44" fontId="0" fillId="13" borderId="0" xfId="0" applyNumberFormat="1" applyFill="1"/>
    <xf numFmtId="44" fontId="0" fillId="13" borderId="0" xfId="1" applyFont="1" applyFill="1"/>
    <xf numFmtId="0" fontId="0" fillId="27" borderId="0" xfId="0" applyFill="1"/>
    <xf numFmtId="44" fontId="0" fillId="27" borderId="0" xfId="0" applyNumberFormat="1" applyFill="1"/>
    <xf numFmtId="44" fontId="0" fillId="27" borderId="0" xfId="1" applyFont="1" applyFill="1" applyBorder="1"/>
    <xf numFmtId="0" fontId="0" fillId="31" borderId="0" xfId="0" applyFill="1"/>
    <xf numFmtId="44" fontId="0" fillId="31" borderId="0" xfId="0" applyNumberFormat="1" applyFill="1"/>
    <xf numFmtId="44" fontId="0" fillId="31" borderId="0" xfId="1" applyFont="1" applyFill="1" applyBorder="1"/>
    <xf numFmtId="44" fontId="3" fillId="17" borderId="2" xfId="1" applyFont="1" applyFill="1" applyBorder="1"/>
    <xf numFmtId="44" fontId="3" fillId="32" borderId="2" xfId="1" applyFont="1" applyFill="1" applyBorder="1"/>
    <xf numFmtId="0" fontId="3" fillId="34" borderId="0" xfId="0" applyFont="1" applyFill="1"/>
    <xf numFmtId="44" fontId="3" fillId="34" borderId="0" xfId="1" applyFont="1" applyFill="1" applyBorder="1"/>
    <xf numFmtId="44" fontId="3" fillId="35" borderId="0" xfId="1" applyFont="1" applyFill="1" applyBorder="1"/>
    <xf numFmtId="44" fontId="3" fillId="0" borderId="4" xfId="0" applyNumberFormat="1" applyFont="1" applyBorder="1"/>
    <xf numFmtId="0" fontId="0" fillId="10" borderId="0" xfId="0" applyFill="1"/>
    <xf numFmtId="44" fontId="0" fillId="10" borderId="0" xfId="0" applyNumberFormat="1" applyFill="1"/>
    <xf numFmtId="44" fontId="0" fillId="10" borderId="0" xfId="1" applyFont="1" applyFill="1" applyBorder="1"/>
    <xf numFmtId="44" fontId="0" fillId="11" borderId="0" xfId="0" applyNumberFormat="1" applyFill="1"/>
    <xf numFmtId="44" fontId="0" fillId="11" borderId="0" xfId="1" applyFont="1" applyFill="1" applyBorder="1"/>
    <xf numFmtId="0" fontId="0" fillId="8" borderId="0" xfId="0" applyFill="1"/>
    <xf numFmtId="44" fontId="0" fillId="8" borderId="0" xfId="0" applyNumberFormat="1" applyFill="1"/>
    <xf numFmtId="44" fontId="0" fillId="8" borderId="0" xfId="1" applyFont="1" applyFill="1" applyBorder="1"/>
    <xf numFmtId="44" fontId="0" fillId="4" borderId="0" xfId="0" applyNumberFormat="1" applyFill="1"/>
    <xf numFmtId="44" fontId="0" fillId="4" borderId="0" xfId="1" applyFont="1" applyFill="1" applyBorder="1"/>
    <xf numFmtId="0" fontId="0" fillId="23" borderId="4" xfId="0" applyFill="1" applyBorder="1"/>
    <xf numFmtId="44" fontId="0" fillId="23" borderId="4" xfId="0" applyNumberFormat="1" applyFill="1" applyBorder="1"/>
    <xf numFmtId="44" fontId="0" fillId="0" borderId="2" xfId="0" applyNumberFormat="1" applyBorder="1"/>
    <xf numFmtId="44" fontId="0" fillId="0" borderId="2" xfId="1" applyFont="1" applyFill="1" applyBorder="1"/>
    <xf numFmtId="0" fontId="0" fillId="16" borderId="0" xfId="0" applyFill="1"/>
    <xf numFmtId="44" fontId="0" fillId="16" borderId="0" xfId="0" applyNumberFormat="1" applyFill="1"/>
    <xf numFmtId="44" fontId="0" fillId="16" borderId="0" xfId="1" applyFont="1" applyFill="1" applyBorder="1"/>
    <xf numFmtId="6" fontId="3" fillId="0" borderId="4" xfId="0" applyNumberFormat="1" applyFont="1" applyBorder="1"/>
    <xf numFmtId="0" fontId="3" fillId="32" borderId="4" xfId="0" applyFont="1" applyFill="1" applyBorder="1"/>
    <xf numFmtId="6" fontId="3" fillId="32" borderId="4" xfId="1" applyNumberFormat="1" applyFont="1" applyFill="1" applyBorder="1"/>
    <xf numFmtId="44" fontId="3" fillId="32" borderId="4" xfId="1" applyFont="1" applyFill="1" applyBorder="1"/>
    <xf numFmtId="0" fontId="3" fillId="7" borderId="4" xfId="0" applyFont="1" applyFill="1" applyBorder="1"/>
    <xf numFmtId="44" fontId="3" fillId="7" borderId="4" xfId="1" applyFont="1" applyFill="1" applyBorder="1"/>
    <xf numFmtId="0" fontId="0" fillId="31" borderId="4" xfId="0" applyFill="1" applyBorder="1"/>
    <xf numFmtId="44" fontId="0" fillId="31" borderId="4" xfId="0" applyNumberFormat="1" applyFill="1" applyBorder="1"/>
    <xf numFmtId="44" fontId="0" fillId="31" borderId="4" xfId="1" applyFont="1" applyFill="1" applyBorder="1"/>
    <xf numFmtId="44" fontId="0" fillId="13" borderId="0" xfId="1" applyFont="1" applyFill="1" applyBorder="1"/>
    <xf numFmtId="6" fontId="3" fillId="10" borderId="0" xfId="1" applyNumberFormat="1" applyFont="1" applyFill="1" applyBorder="1"/>
    <xf numFmtId="44" fontId="3" fillId="19" borderId="0" xfId="1" applyFont="1" applyFill="1"/>
  </cellXfs>
  <cellStyles count="2">
    <cellStyle name="Moneda" xfId="1" builtinId="4"/>
    <cellStyle name="Normal" xfId="0" builtinId="0"/>
  </cellStyles>
  <dxfs count="143"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numFmt numFmtId="34" formatCode="_-&quot;$&quot;\ * #,##0.00_-;\-&quot;$&quot;\ * #,##0.00_-;_-&quot;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$&quot;\ * #,##0.00_-;\-&quot;$&quot;\ * #,##0.00_-;_-&quot;$&quot;\ * &quot;-&quot;??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B39B59"/>
      <color rgb="FFD7C9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3A933C5-B040-464E-A115-58378AFA723C}" name="Tabla1" displayName="Tabla1" ref="A1:E80" totalsRowShown="0" headerRowDxfId="142" dataDxfId="140" headerRowBorderDxfId="141" tableBorderDxfId="139" headerRowCellStyle="Moneda" dataCellStyle="Moneda">
  <autoFilter ref="A1:E80" xr:uid="{93A933C5-B040-464E-A115-58378AFA723C}"/>
  <sortState xmlns:xlrd2="http://schemas.microsoft.com/office/spreadsheetml/2017/richdata2" ref="A2:E80">
    <sortCondition ref="A2:A80"/>
  </sortState>
  <tableColumns count="5">
    <tableColumn id="1" xr3:uid="{D87B9662-C2CD-4877-9E97-1D6D0378625C}" name="PRODUCTO" dataDxfId="138"/>
    <tableColumn id="2" xr3:uid="{CDA2380E-C2E2-47D6-8DC6-4D55E2FC1ECB}" name="COSTO UNIT" dataDxfId="137" dataCellStyle="Moneda"/>
    <tableColumn id="3" xr3:uid="{B17C1D13-0E2D-44B5-93EC-87F20B46B7BA}" name="PRECIO SUGERIDO" dataDxfId="136" dataCellStyle="Moneda"/>
    <tableColumn id="4" xr3:uid="{1DE452D0-176A-4874-88DF-9123BCF602B4}" name="PRECIO FINAL" dataDxfId="135" dataCellStyle="Moneda"/>
    <tableColumn id="5" xr3:uid="{8B605138-709A-414A-B704-5633E03EA1B6}" name="Columna1" dataDxfId="134" dataCellStyle="Moned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2AA560F-DA01-41E7-9E4A-60349E875CE6}" name="Tabla2" displayName="Tabla2" ref="A1:E134" totalsRowShown="0" headerRowDxfId="133" dataDxfId="131" headerRowBorderDxfId="132" tableBorderDxfId="130" headerRowCellStyle="Moneda">
  <autoFilter ref="A1:E134" xr:uid="{62AA560F-DA01-41E7-9E4A-60349E875CE6}"/>
  <sortState xmlns:xlrd2="http://schemas.microsoft.com/office/spreadsheetml/2017/richdata2" ref="A2:E134">
    <sortCondition ref="A52:A134"/>
  </sortState>
  <tableColumns count="5">
    <tableColumn id="1" xr3:uid="{80C31492-C0D3-489D-8529-B1C6B3A6ADC5}" name="PRODUCTO" dataDxfId="129"/>
    <tableColumn id="2" xr3:uid="{E862CB03-121F-4E4E-883C-216835E0FE85}" name="COSTO UNIT" dataDxfId="128"/>
    <tableColumn id="3" xr3:uid="{CABBB29D-ADFD-4635-B5F7-4B67F51649D0}" name="PRECIO SUGERIDO" dataDxfId="127"/>
    <tableColumn id="4" xr3:uid="{A73CEE71-29F9-4C8E-AA6B-C5CD762DEEEB}" name="PRECIO FINAL" dataDxfId="126"/>
    <tableColumn id="5" xr3:uid="{17CB9008-D4CC-4EFA-953C-EBDB7B834DD4}" name="X KG" dataDxfId="1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14DFB3-CCB8-4151-85CB-89F815F95772}" name="Tabla3" displayName="Tabla3" ref="A1:E79" totalsRowShown="0" headerRowDxfId="124" dataDxfId="122" headerRowBorderDxfId="123" tableBorderDxfId="121" headerRowCellStyle="Moneda">
  <autoFilter ref="A1:E79" xr:uid="{8214DFB3-CCB8-4151-85CB-89F815F95772}"/>
  <sortState xmlns:xlrd2="http://schemas.microsoft.com/office/spreadsheetml/2017/richdata2" ref="A2:E79">
    <sortCondition ref="A3:A79"/>
  </sortState>
  <tableColumns count="5">
    <tableColumn id="1" xr3:uid="{E6C37521-EE77-480D-8553-AE0C7F2458C7}" name="PRODUCTO" dataDxfId="120"/>
    <tableColumn id="2" xr3:uid="{D1B091D8-D33B-4078-A821-6AC96EFEE7D8}" name="COSTO UNIT" dataDxfId="119" dataCellStyle="Moneda"/>
    <tableColumn id="3" xr3:uid="{535FF21A-6664-4F39-96E4-9C49014D9782}" name="PRECIO SUGERIDO" dataDxfId="118" dataCellStyle="Moneda">
      <calculatedColumnFormula>B2*1.5</calculatedColumnFormula>
    </tableColumn>
    <tableColumn id="4" xr3:uid="{2173AD50-EE15-4C75-8B60-69716A579223}" name="PRECIO FINAL" dataDxfId="117" dataCellStyle="Moneda"/>
    <tableColumn id="5" xr3:uid="{DE5847B2-42AB-4DEA-A018-7CE7AD77B1CA}" name="Columna1" dataDxfId="1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6CB6423-ECA9-4DA9-AA7A-30A66AB4EC0C}" name="Tabla4" displayName="Tabla4" ref="A1:F119" totalsRowShown="0" headerRowDxfId="115" dataDxfId="113" headerRowBorderDxfId="114" tableBorderDxfId="112" headerRowCellStyle="Moneda">
  <autoFilter ref="A1:F119" xr:uid="{E6CB6423-ECA9-4DA9-AA7A-30A66AB4EC0C}"/>
  <sortState xmlns:xlrd2="http://schemas.microsoft.com/office/spreadsheetml/2017/richdata2" ref="A2:F119">
    <sortCondition ref="A12:A119"/>
  </sortState>
  <tableColumns count="6">
    <tableColumn id="1" xr3:uid="{40691AB6-C0F7-472B-886E-5D7E77844D50}" name="PRODUCTO" dataDxfId="111"/>
    <tableColumn id="2" xr3:uid="{38248768-E2CF-40F8-9E2C-8FD230663EFD}" name="COSTO UNIT" dataDxfId="110" dataCellStyle="Moneda"/>
    <tableColumn id="3" xr3:uid="{A51142E9-E307-4CA5-BC79-D1AB368B64ED}" name="PRECIO SUGERIDO" dataDxfId="109" dataCellStyle="Moneda"/>
    <tableColumn id="4" xr3:uid="{4BDBCEDC-BE5F-4DDE-B84E-1C3CD1A82523}" name="PRECIO FINAL" dataDxfId="108" dataCellStyle="Moneda"/>
    <tableColumn id="5" xr3:uid="{D3395619-F231-416E-9FE4-E95F3AB80FBD}" name="Columna1" dataDxfId="107" dataCellStyle="Moneda"/>
    <tableColumn id="6" xr3:uid="{5401DA23-B309-4EF7-B05A-603ED5A4E856}" name="Columna2" dataDxfId="106" dataCellStyle="Moneda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30D949A-2C32-4C31-84B7-A975EE40685C}" name="Tabla5" displayName="Tabla5" ref="A1:E79" totalsRowShown="0" headerRowDxfId="105" dataDxfId="104" headerRowCellStyle="Moneda" dataCellStyle="Moneda">
  <autoFilter ref="A1:E79" xr:uid="{D30D949A-2C32-4C31-84B7-A975EE40685C}"/>
  <sortState xmlns:xlrd2="http://schemas.microsoft.com/office/spreadsheetml/2017/richdata2" ref="A2:E79">
    <sortCondition ref="A2:A79"/>
  </sortState>
  <tableColumns count="5">
    <tableColumn id="1" xr3:uid="{4443A34A-5DA1-4DA1-8D9C-6D104E1FCB48}" name="PRODUCTO" dataDxfId="103"/>
    <tableColumn id="2" xr3:uid="{FE4D9CB7-C75D-44A2-91FC-390684EA2B67}" name="COSTO UNIT" dataDxfId="102" dataCellStyle="Moneda"/>
    <tableColumn id="3" xr3:uid="{EE5CC549-DF1F-423B-82DE-B7DD2533E16F}" name="PRECIO SUGERIDO" dataDxfId="101" dataCellStyle="Moneda"/>
    <tableColumn id="4" xr3:uid="{8A473490-067C-4EBB-836F-EDD88C248B2B}" name="PRECIO FINAL" dataDxfId="100" dataCellStyle="Moneda"/>
    <tableColumn id="5" xr3:uid="{65BB21C1-A6C5-4EA5-B487-5F83864311C9}" name="Columna1" dataDxfId="99" dataCellStyle="Moned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E0074D-2A49-4F7F-AF8E-43D2011B13C3}" name="Tabla6" displayName="Tabla6" ref="A1:D75" totalsRowShown="0" headerRowDxfId="98" dataDxfId="97" headerRowCellStyle="Moneda">
  <autoFilter ref="A1:D75" xr:uid="{82E0074D-2A49-4F7F-AF8E-43D2011B13C3}"/>
  <sortState xmlns:xlrd2="http://schemas.microsoft.com/office/spreadsheetml/2017/richdata2" ref="A2:D75">
    <sortCondition ref="A2:A75"/>
  </sortState>
  <tableColumns count="4">
    <tableColumn id="1" xr3:uid="{297AF975-6DBE-4E61-B648-3041A9F84AAC}" name="PRODUCTO " dataDxfId="96"/>
    <tableColumn id="2" xr3:uid="{87217ED0-BA81-41B5-B822-29A2B2BB1228}" name="COSTO UNITARIO" dataDxfId="95" dataCellStyle="Moneda"/>
    <tableColumn id="3" xr3:uid="{452D8311-30E8-4A14-A036-A6E30461E7F8}" name="PRECIO SUGERIDO" dataDxfId="94" dataCellStyle="Moneda"/>
    <tableColumn id="4" xr3:uid="{63C328E0-9DC8-461F-8B91-144F2C5CAC11}" name="PRECIO FINAL" dataDxfId="93" dataCellStyle="Moned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DC32FCE-E632-4921-AF73-2DE8C30C7C18}" name="Tabla7" displayName="Tabla7" ref="A1:E218" totalsRowShown="0" headerRowDxfId="92" dataDxfId="91" headerRowCellStyle="Moneda" dataCellStyle="Moneda">
  <autoFilter ref="A1:E218" xr:uid="{CDC32FCE-E632-4921-AF73-2DE8C30C7C18}"/>
  <sortState xmlns:xlrd2="http://schemas.microsoft.com/office/spreadsheetml/2017/richdata2" ref="A2:E109">
    <sortCondition ref="A2:A109"/>
  </sortState>
  <tableColumns count="5">
    <tableColumn id="1" xr3:uid="{8239172B-0CE7-48F4-9558-33574510C254}" name="PRODUCTO" dataDxfId="90"/>
    <tableColumn id="2" xr3:uid="{20F647D5-C8BB-4F83-8506-E936242B7617}" name="COSTO UNIT" dataDxfId="89"/>
    <tableColumn id="3" xr3:uid="{93EFB26A-324E-4385-9523-682E609192D8}" name="PRECIO SUGERIDO" dataDxfId="88" dataCellStyle="Moneda"/>
    <tableColumn id="4" xr3:uid="{866607AE-D8C7-49FB-926B-8F432E9BEC34}" name="PRECIO FINAL" dataDxfId="87" dataCellStyle="Moneda"/>
    <tableColumn id="5" xr3:uid="{01FD2FD1-CA0E-48E1-954E-15D476F45F84}" name="KG COSTO" dataDxfId="86" dataCellStyle="Mon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3F5A370-2795-492E-91C3-D72D76E10D47}" name="Tabla8" displayName="Tabla8" ref="A1:E79" totalsRowShown="0" headerRowDxfId="85" dataDxfId="84" headerRowCellStyle="Moneda" dataCellStyle="Moneda">
  <autoFilter ref="A1:E79" xr:uid="{E3F5A370-2795-492E-91C3-D72D76E10D47}"/>
  <sortState xmlns:xlrd2="http://schemas.microsoft.com/office/spreadsheetml/2017/richdata2" ref="A2:E79">
    <sortCondition ref="A48:A79"/>
  </sortState>
  <tableColumns count="5">
    <tableColumn id="1" xr3:uid="{D91BD815-6DC4-4B86-BD62-918556E9D528}" name="PRODUCTO" dataDxfId="83"/>
    <tableColumn id="2" xr3:uid="{C0422173-EC74-4DB8-AA83-53D622DA1EF2}" name="COSTO UNITARIO" dataDxfId="82" dataCellStyle="Moneda"/>
    <tableColumn id="3" xr3:uid="{CADB4BBD-3FDF-471F-97E9-5A5CFBA130B7}" name="PRECIO SUGERIDO" dataDxfId="81" dataCellStyle="Moneda">
      <calculatedColumnFormula>B2*1.4</calculatedColumnFormula>
    </tableColumn>
    <tableColumn id="4" xr3:uid="{A899F0E7-2135-41D2-9D56-8F86A7CFD9C5}" name="PRECIO FINAL" dataDxfId="80" dataCellStyle="Moneda"/>
    <tableColumn id="5" xr3:uid="{69749951-FBA0-4350-A6CC-0B41478D907E}" name="KILO" dataDxfId="79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FAC26A6-F366-454A-8F27-4BDC603A72FF}" name="Tabla9" displayName="Tabla9" ref="A1:E186" totalsRowShown="0" headerRowDxfId="78" dataDxfId="77" headerRowCellStyle="Moneda" dataCellStyle="Moneda">
  <autoFilter ref="A1:E186" xr:uid="{9FAC26A6-F366-454A-8F27-4BDC603A72FF}"/>
  <sortState xmlns:xlrd2="http://schemas.microsoft.com/office/spreadsheetml/2017/richdata2" ref="A2:E186">
    <sortCondition ref="A14:A186"/>
  </sortState>
  <tableColumns count="5">
    <tableColumn id="1" xr3:uid="{7BA1050E-62D2-4837-B93F-7D072033FC9C}" name="PRODUCTO" dataDxfId="76"/>
    <tableColumn id="2" xr3:uid="{CF4AB94E-16D2-4A8A-8448-BA07FBB16948}" name="COSTO UNIT" dataDxfId="75" dataCellStyle="Moneda"/>
    <tableColumn id="3" xr3:uid="{8DBAE6CE-AC91-4821-844C-3FE6A8967A2C}" name="PRECIO SUGERIDO" dataDxfId="74" dataCellStyle="Moneda"/>
    <tableColumn id="4" xr3:uid="{536243AF-0D4A-478A-A066-0248B85DC431}" name="PRECIO FINAL" dataDxfId="73" dataCellStyle="Moneda"/>
    <tableColumn id="5" xr3:uid="{981F9EF0-E3DC-418A-A6EA-BAB6A72276F9}" name="Columna1" dataDxfId="72" dataCellStyle="Mone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FA4EF42-5690-4D05-B8A4-A95B763400CC}" name="Tabla10" displayName="Tabla10" ref="A1:E80" totalsRowShown="0" headerRowDxfId="71" dataDxfId="70" headerRowCellStyle="Moneda" dataCellStyle="Moneda">
  <autoFilter ref="A1:E80" xr:uid="{5FA4EF42-5690-4D05-B8A4-A95B763400CC}"/>
  <sortState xmlns:xlrd2="http://schemas.microsoft.com/office/spreadsheetml/2017/richdata2" ref="A2:E80">
    <sortCondition ref="A2:A80"/>
  </sortState>
  <tableColumns count="5">
    <tableColumn id="1" xr3:uid="{8D4EE60F-7C6B-4E15-90B5-5142DE4592B8}" name="PRODUCTO" dataDxfId="69"/>
    <tableColumn id="2" xr3:uid="{0907268E-ECC7-45BE-8E8B-3075277FD411}" name="COSTO UNIT" dataDxfId="68" dataCellStyle="Moneda"/>
    <tableColumn id="3" xr3:uid="{B9EFE343-3149-4939-8235-EB91C6896D0F}" name="PRECIO SUGERIDO" dataDxfId="67" dataCellStyle="Moneda"/>
    <tableColumn id="4" xr3:uid="{825F4BF2-1050-43E5-AF13-46D93F7ECE4B}" name="PRECIO FINAL" dataDxfId="66" dataCellStyle="Moneda"/>
    <tableColumn id="5" xr3:uid="{6B70A5D4-568D-477C-9514-94570D062926}" name="Columna1" dataDxfId="65" dataCellStyle="Moneda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4E52B86-C95B-4209-A836-98E677E03896}" name="Tabla11" displayName="Tabla11" ref="A1:G163" totalsRowShown="0" headerRowDxfId="64" dataDxfId="63" headerRowCellStyle="Moneda" dataCellStyle="Moneda">
  <autoFilter ref="A1:G163" xr:uid="{54E52B86-C95B-4209-A836-98E677E03896}"/>
  <sortState xmlns:xlrd2="http://schemas.microsoft.com/office/spreadsheetml/2017/richdata2" ref="A2:G163">
    <sortCondition ref="A2:A163"/>
  </sortState>
  <tableColumns count="7">
    <tableColumn id="1" xr3:uid="{B1C49C4B-A86B-42C1-971B-A2CE1075790A}" name="PRODUCTO" dataDxfId="62"/>
    <tableColumn id="2" xr3:uid="{534D2644-BF8D-4263-B2CA-DA06D4DD8CC0}" name="COSTO UNIT" dataDxfId="61" dataCellStyle="Moneda"/>
    <tableColumn id="3" xr3:uid="{9A2C5A82-002D-4A86-BACE-07FCBDF4D799}" name="PRECIO SUGERIDO" dataDxfId="60" dataCellStyle="Moneda">
      <calculatedColumnFormula>B2*1.6</calculatedColumnFormula>
    </tableColumn>
    <tableColumn id="4" xr3:uid="{73C9554C-D47F-480A-8B9A-BC60DB67BB3F}" name="PRECIO FINAL" dataDxfId="59" dataCellStyle="Moneda"/>
    <tableColumn id="5" xr3:uid="{CE46C84B-77C8-4693-9E18-DC92DD418B86}" name="Columna1" dataDxfId="58" dataCellStyle="Moneda"/>
    <tableColumn id="6" xr3:uid="{18F16858-B9CB-4CA8-9EEB-B9A2A6DD71EA}" name="Columna2" dataDxfId="57" dataCellStyle="Moneda"/>
    <tableColumn id="7" xr3:uid="{EEB15A96-2BB8-4F73-91FE-C7453DAAB063}" name="Columna3" dataDxfId="56" dataCellStyle="Moneda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36DB21C-8C8A-4236-BAAA-235AFBC6E86E}" name="Tabla12" displayName="Tabla12" ref="A1:G138" totalsRowShown="0" headerRowDxfId="55" dataDxfId="54" headerRowCellStyle="Moneda" dataCellStyle="Moneda">
  <autoFilter ref="A1:G138" xr:uid="{136DB21C-8C8A-4236-BAAA-235AFBC6E86E}"/>
  <sortState xmlns:xlrd2="http://schemas.microsoft.com/office/spreadsheetml/2017/richdata2" ref="A2:G138">
    <sortCondition ref="A2:A138"/>
  </sortState>
  <tableColumns count="7">
    <tableColumn id="1" xr3:uid="{57887E89-548C-489C-9BF7-ECF60370BF07}" name="PRODUCTO" dataDxfId="53"/>
    <tableColumn id="2" xr3:uid="{FBF370D3-341F-4510-93A4-8B0D1EFD5AC8}" name="COSTO UNITARIO" dataDxfId="52" dataCellStyle="Moneda"/>
    <tableColumn id="3" xr3:uid="{34086A9F-CBDB-43C1-BD0D-668C91932F00}" name="PRECIO SUGERIDO " dataDxfId="51" dataCellStyle="Moneda">
      <calculatedColumnFormula>B2*1.5</calculatedColumnFormula>
    </tableColumn>
    <tableColumn id="4" xr3:uid="{B2B3892C-274B-4C1A-88E7-0F74939CF617}" name="PRECIO FINAL" dataDxfId="50" dataCellStyle="Moneda"/>
    <tableColumn id="5" xr3:uid="{8412A313-F009-42AB-94B0-528C03202D63}" name="Columna1" dataDxfId="49" dataCellStyle="Moneda"/>
    <tableColumn id="6" xr3:uid="{D076A597-F3E6-4C6B-AF49-EB0525D9B1C2}" name="Columna2" dataDxfId="48" dataCellStyle="Moneda"/>
    <tableColumn id="7" xr3:uid="{3883FCEA-7C49-4D87-8645-4A988826FDCC}" name="Columna3" dataDxfId="47" dataCellStyle="Moneda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9ED7243-9393-44F2-B4FC-3235B3822E2B}" name="Tabla13" displayName="Tabla13" ref="A1:F64" totalsRowShown="0" headerRowDxfId="46" dataDxfId="45" headerRowCellStyle="Moneda" dataCellStyle="Moneda">
  <autoFilter ref="A1:F64" xr:uid="{C9ED7243-9393-44F2-B4FC-3235B3822E2B}"/>
  <sortState xmlns:xlrd2="http://schemas.microsoft.com/office/spreadsheetml/2017/richdata2" ref="A2:F64">
    <sortCondition ref="A2:A64"/>
  </sortState>
  <tableColumns count="6">
    <tableColumn id="1" xr3:uid="{07FBAA13-5675-47E8-A9C9-D644D8029E28}" name="PRODUCTOS " dataDxfId="44"/>
    <tableColumn id="2" xr3:uid="{5AE72B54-0380-4545-98AD-FD163C90DDD0}" name="COSTO UNITARIO " dataDxfId="43" dataCellStyle="Moneda"/>
    <tableColumn id="3" xr3:uid="{1EF7ECBB-40AA-4988-AEE9-CA5E220900D9}" name="PRECIO SUGERIDO" dataDxfId="42" dataCellStyle="Moneda"/>
    <tableColumn id="4" xr3:uid="{7DEB193D-8512-430B-B7E2-F62B83DCCB0B}" name="PRECIO TOTAL" dataDxfId="41" dataCellStyle="Moneda"/>
    <tableColumn id="5" xr3:uid="{B3E0A6A5-9DD8-4325-932C-DE259FB8A39A}" name="Columna1" dataDxfId="40" dataCellStyle="Moneda"/>
    <tableColumn id="6" xr3:uid="{A8FABC07-F6F6-48E1-AFEB-9DFEF4A0CFB9}" name="Columna2" dataDxfId="39" dataCellStyle="Moneda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24D9519-6F15-40F1-980A-619DD9AE359C}" name="Tabla14" displayName="Tabla14" ref="A1:E78" totalsRowShown="0" headerRowDxfId="38" dataDxfId="37" headerRowCellStyle="Moneda" dataCellStyle="Moneda">
  <autoFilter ref="A1:E78" xr:uid="{824D9519-6F15-40F1-980A-619DD9AE359C}"/>
  <sortState xmlns:xlrd2="http://schemas.microsoft.com/office/spreadsheetml/2017/richdata2" ref="A2:E78">
    <sortCondition ref="A2:A78"/>
  </sortState>
  <tableColumns count="5">
    <tableColumn id="1" xr3:uid="{8FF8691A-F2DD-44F7-9C4D-33220FB2AB21}" name="PRODUCTO" dataDxfId="36"/>
    <tableColumn id="2" xr3:uid="{83C9F983-ED89-487C-A1B6-BD23B1383264}" name="COSTO UNITARIO " dataDxfId="35" dataCellStyle="Moneda"/>
    <tableColumn id="3" xr3:uid="{0887C582-413E-41BA-BEED-FF08DBFCF85F}" name="PRECIO SUGERIDO" dataDxfId="34" dataCellStyle="Moneda"/>
    <tableColumn id="4" xr3:uid="{9BF72D92-12BB-414A-8CE4-878A293AC436}" name="PRECIO TOTAL" dataDxfId="33" dataCellStyle="Moneda"/>
    <tableColumn id="5" xr3:uid="{838C9A81-B3AA-4600-9020-2DD8F79FFCF7}" name="Columna1" dataDxfId="32" dataCellStyle="Moneda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E02A0A9-9B73-45A2-8970-495BA83C16F0}" name="Tabla15" displayName="Tabla15" ref="A1:E151" totalsRowShown="0" headerRowDxfId="31">
  <autoFilter ref="A1:E151" xr:uid="{8E02A0A9-9B73-45A2-8970-495BA83C16F0}"/>
  <sortState xmlns:xlrd2="http://schemas.microsoft.com/office/spreadsheetml/2017/richdata2" ref="A2:E151">
    <sortCondition ref="A2:A151"/>
  </sortState>
  <tableColumns count="5">
    <tableColumn id="1" xr3:uid="{D5C9AE53-209C-4FE0-8506-2947E20AB1F4}" name="PRODUCTO"/>
    <tableColumn id="2" xr3:uid="{930E7983-1AD9-45F1-A28F-078438104CA1}" name="COSTO UNIT" dataDxfId="30"/>
    <tableColumn id="3" xr3:uid="{652B4237-85B7-4842-A180-03E2F57AB1B8}" name="PRECIO SUGERIDO" dataDxfId="29"/>
    <tableColumn id="4" xr3:uid="{D20B6CF4-3CE2-4B55-AE8E-E5AC6AFB8D5A}" name="PRECIO FINAL" dataDxfId="28"/>
    <tableColumn id="5" xr3:uid="{0CEF068A-EF20-4075-96A8-86DBA7012186}" name="PRECIO X KILO COSTO" dataCellStyle="Moneda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7AA5D6E-1661-47F4-9D8E-910C60BAF9C3}" name="Tabla16" displayName="Tabla16" ref="A1:E151" totalsRowShown="0" headerRowDxfId="27">
  <autoFilter ref="A1:E151" xr:uid="{8E02A0A9-9B73-45A2-8970-495BA83C16F0}"/>
  <sortState xmlns:xlrd2="http://schemas.microsoft.com/office/spreadsheetml/2017/richdata2" ref="A2:E151">
    <sortCondition ref="A2:A151"/>
  </sortState>
  <tableColumns count="5">
    <tableColumn id="1" xr3:uid="{932D7172-7DDC-4A65-A331-38BF1E686594}" name="PRODUCTO"/>
    <tableColumn id="2" xr3:uid="{4B1AD034-1139-4A50-97AE-6A151AD715E2}" name="COSTO UNIT" dataDxfId="26"/>
    <tableColumn id="3" xr3:uid="{A87ECC10-F7AB-46C6-98B8-830984886022}" name="PRECIO SUGERIDO" dataDxfId="25"/>
    <tableColumn id="4" xr3:uid="{52624AA5-28B7-47C7-99FA-C2D015EEFF55}" name="PRECIO FINAL" dataDxfId="24"/>
    <tableColumn id="5" xr3:uid="{F534E9CC-5F1B-46D0-B423-0B1BE391DD6F}" name="PRECIO X KILO COSTO" dataCellStyle="Moneda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9D8DDB7-8A69-497B-A95A-F64B24C1F43E}" name="Tabla17" displayName="Tabla17" ref="A1:E151" totalsRowShown="0" headerRowDxfId="23">
  <autoFilter ref="A1:E151" xr:uid="{8E02A0A9-9B73-45A2-8970-495BA83C16F0}"/>
  <sortState xmlns:xlrd2="http://schemas.microsoft.com/office/spreadsheetml/2017/richdata2" ref="A2:E151">
    <sortCondition ref="A24:A151"/>
  </sortState>
  <tableColumns count="5">
    <tableColumn id="1" xr3:uid="{D2148260-BCE0-481D-AE98-9A131A12B023}" name="PRODUCTO"/>
    <tableColumn id="2" xr3:uid="{42254B5A-7114-4F05-9510-8F5105075692}" name="COSTO UNIT" dataDxfId="22"/>
    <tableColumn id="3" xr3:uid="{443BE4F0-3FF6-438C-AFAC-0B353C1385F7}" name="PRECIO SUGERIDO" dataDxfId="21"/>
    <tableColumn id="4" xr3:uid="{8C8F9085-0047-451D-8FA9-A964EBC2EA09}" name="PRECIO FINAL" dataDxfId="20"/>
    <tableColumn id="5" xr3:uid="{D915EFB8-3607-44AC-8693-BF7579E93C52}" name="PRECIO X KILO COSTO" dataCellStyle="Moneda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B26BBFF-CA47-4F96-BD3F-E2536A002283}" name="Tabla18" displayName="Tabla18" ref="A1:E151" totalsRowShown="0" headerRowDxfId="19">
  <autoFilter ref="A1:E151" xr:uid="{8E02A0A9-9B73-45A2-8970-495BA83C16F0}"/>
  <sortState xmlns:xlrd2="http://schemas.microsoft.com/office/spreadsheetml/2017/richdata2" ref="A2:E151">
    <sortCondition ref="A53:A151"/>
  </sortState>
  <tableColumns count="5">
    <tableColumn id="1" xr3:uid="{8268C9C9-61F1-4FF1-A10D-7F2BAACB910A}" name="PRODUCTO"/>
    <tableColumn id="2" xr3:uid="{67853B15-EAD6-4E35-81FC-B2DDD876C2F4}" name="COSTO UNIT" dataDxfId="18"/>
    <tableColumn id="3" xr3:uid="{3DB74258-B808-4E51-BB97-5AA1E74522FC}" name="PRECIO SUGERIDO" dataDxfId="17"/>
    <tableColumn id="4" xr3:uid="{04B1068B-D920-4B89-BD26-58A7BD9C66FD}" name="PRECIO FINAL" dataDxfId="16"/>
    <tableColumn id="5" xr3:uid="{2704324D-8A8C-4103-8E16-64202AF9192D}" name="PRECIO X KILO COSTO" dataCellStyle="Moneda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F91F1D9-A5E6-4BE0-8F5B-D385078F8A0F}" name="Tabla19" displayName="Tabla19" ref="A1:E151" totalsRowShown="0" headerRowDxfId="15">
  <autoFilter ref="A1:E151" xr:uid="{8E02A0A9-9B73-45A2-8970-495BA83C16F0}"/>
  <sortState xmlns:xlrd2="http://schemas.microsoft.com/office/spreadsheetml/2017/richdata2" ref="A2:E151">
    <sortCondition ref="A2:A151"/>
  </sortState>
  <tableColumns count="5">
    <tableColumn id="1" xr3:uid="{42D7945F-7126-448A-9392-520D49E1BA0A}" name="PRODUCTO"/>
    <tableColumn id="2" xr3:uid="{0C333E48-9745-4E50-9BFC-1F9C62776E03}" name="COSTO UNIT" dataDxfId="14"/>
    <tableColumn id="3" xr3:uid="{E4561DEF-FA51-4BBE-ABAC-B11021982ADE}" name="PRECIO SUGERIDO" dataDxfId="13"/>
    <tableColumn id="4" xr3:uid="{64A01BC0-C92C-422A-9587-7B9483AD4D4B}" name="PRECIO FINAL" dataDxfId="12"/>
    <tableColumn id="5" xr3:uid="{96123C90-48D5-473A-BCBE-7800B2FD51F2}" name="PRECIO X KILO COSTO" dataCellStyle="Moneda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8DA76F6-05FD-4FA0-8AD9-224A6368F0C0}" name="Tabla20" displayName="Tabla20" ref="A1:E151" totalsRowShown="0" headerRowDxfId="11">
  <autoFilter ref="A1:E151" xr:uid="{8E02A0A9-9B73-45A2-8970-495BA83C16F0}"/>
  <sortState xmlns:xlrd2="http://schemas.microsoft.com/office/spreadsheetml/2017/richdata2" ref="A2:E151">
    <sortCondition ref="A102:A151"/>
  </sortState>
  <tableColumns count="5">
    <tableColumn id="1" xr3:uid="{4ABB0E5A-5B02-49DA-BD66-896C56CB744C}" name="PRODUCTO"/>
    <tableColumn id="2" xr3:uid="{A18D0129-901C-48BF-A080-16555F0A0B75}" name="COSTO UNIT" dataDxfId="10"/>
    <tableColumn id="3" xr3:uid="{A73D0475-60AD-428E-BF8F-D1547BF4A004}" name="PRECIO SUGERIDO" dataDxfId="9"/>
    <tableColumn id="4" xr3:uid="{2CABB6A1-96DF-41C9-B79E-2732CEA10456}" name="PRECIO FINAL" dataDxfId="8"/>
    <tableColumn id="5" xr3:uid="{F8644B41-7902-4A2B-A716-8730AC16E0AA}" name="PRECIO X KILO COSTO" dataCellStyle="Moneda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2D040F7B-7369-4549-8F57-859E2CF03FA0}" name="Tabla21" displayName="Tabla21" ref="A1:E151" totalsRowShown="0" headerRowDxfId="7">
  <autoFilter ref="A1:E151" xr:uid="{8E02A0A9-9B73-45A2-8970-495BA83C16F0}"/>
  <sortState xmlns:xlrd2="http://schemas.microsoft.com/office/spreadsheetml/2017/richdata2" ref="A2:E151">
    <sortCondition ref="A32:A151"/>
  </sortState>
  <tableColumns count="5">
    <tableColumn id="1" xr3:uid="{272A1382-6962-453D-AED2-800CAB97C1D3}" name="PRODUCTO"/>
    <tableColumn id="2" xr3:uid="{B8CCA08B-FD14-42AC-B08F-E9DDA797F495}" name="COSTO UNIT" dataDxfId="6"/>
    <tableColumn id="3" xr3:uid="{8F93EA1E-9426-4E50-8743-F2218C7AF810}" name="PRECIO SUGERIDO" dataDxfId="5"/>
    <tableColumn id="4" xr3:uid="{6AAA42CA-F78C-4181-BB82-D07863782B74}" name="PRECIO FINAL" dataDxfId="4"/>
    <tableColumn id="5" xr3:uid="{C7CA7241-ADF2-4AD5-8400-30F3345F88AF}" name="PRECIO X KILO COSTO" dataCellStyle="Moneda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D6A7958-2E0A-4EFF-994E-BE4B7D13CC1F}" name="Tabla22" displayName="Tabla22" ref="A1:E151" totalsRowShown="0" headerRowDxfId="3">
  <autoFilter ref="A1:E151" xr:uid="{8E02A0A9-9B73-45A2-8970-495BA83C16F0}"/>
  <sortState xmlns:xlrd2="http://schemas.microsoft.com/office/spreadsheetml/2017/richdata2" ref="A2:E151">
    <sortCondition ref="A2:A151"/>
  </sortState>
  <tableColumns count="5">
    <tableColumn id="1" xr3:uid="{2717A1C1-C133-48FE-99AC-22B8D8891651}" name="PRODUCTO"/>
    <tableColumn id="2" xr3:uid="{FF49DCEB-7E75-47B6-B610-30005E648E28}" name="COSTO UNIT" dataDxfId="2"/>
    <tableColumn id="3" xr3:uid="{497DCF84-6270-41B9-BC82-C10BC0677027}" name="PRECIO SUGERIDO" dataDxfId="1"/>
    <tableColumn id="4" xr3:uid="{D73626E7-4E1A-495A-B9DC-BE7629F12539}" name="PRECIO FINAL" dataDxfId="0"/>
    <tableColumn id="5" xr3:uid="{E38DE2E7-3F5D-46E7-B2FA-C153E86868B9}" name="PRECIO X KILO COSTO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FA1D8-1912-4A09-B002-34DBF6E2A579}">
  <sheetPr codeName="Hoja18">
    <tabColor theme="5" tint="0.59999389629810485"/>
  </sheetPr>
  <dimension ref="A1:E80"/>
  <sheetViews>
    <sheetView tabSelected="1" zoomScaleNormal="100" workbookViewId="0">
      <selection activeCell="E4" sqref="E4"/>
    </sheetView>
  </sheetViews>
  <sheetFormatPr baseColWidth="10" defaultRowHeight="14.4" x14ac:dyDescent="0.3"/>
  <cols>
    <col min="1" max="1" width="62" customWidth="1"/>
    <col min="2" max="2" width="17.88671875" bestFit="1" customWidth="1"/>
    <col min="3" max="3" width="23.33203125" bestFit="1" customWidth="1"/>
    <col min="4" max="4" width="19" bestFit="1" customWidth="1"/>
  </cols>
  <sheetData>
    <row r="1" spans="1:5" x14ac:dyDescent="0.3">
      <c r="A1" s="8" t="s">
        <v>0</v>
      </c>
      <c r="B1" s="9" t="s">
        <v>7</v>
      </c>
      <c r="C1" s="9" t="s">
        <v>1</v>
      </c>
      <c r="D1" s="9" t="s">
        <v>2</v>
      </c>
      <c r="E1" s="20" t="s">
        <v>29</v>
      </c>
    </row>
    <row r="2" spans="1:5" x14ac:dyDescent="0.3">
      <c r="A2" s="6" t="s">
        <v>1055</v>
      </c>
      <c r="B2" s="7">
        <v>650</v>
      </c>
      <c r="C2" s="7">
        <f>B2*1.8</f>
        <v>1170</v>
      </c>
      <c r="D2" s="7">
        <v>1150</v>
      </c>
      <c r="E2" s="14"/>
    </row>
    <row r="3" spans="1:5" x14ac:dyDescent="0.3">
      <c r="A3" s="68" t="s">
        <v>922</v>
      </c>
      <c r="B3" s="69">
        <v>1400</v>
      </c>
      <c r="C3" s="69">
        <f>B3*1.5</f>
        <v>2100</v>
      </c>
      <c r="D3" s="69">
        <v>2200</v>
      </c>
      <c r="E3" s="70"/>
    </row>
    <row r="4" spans="1:5" x14ac:dyDescent="0.3">
      <c r="A4" s="6" t="s">
        <v>1289</v>
      </c>
      <c r="B4" s="7">
        <v>540</v>
      </c>
      <c r="C4" s="7">
        <f>B4*1.7</f>
        <v>918</v>
      </c>
      <c r="D4" s="7">
        <v>900</v>
      </c>
      <c r="E4" s="14">
        <v>6500</v>
      </c>
    </row>
    <row r="5" spans="1:5" x14ac:dyDescent="0.3">
      <c r="A5" s="6" t="s">
        <v>1425</v>
      </c>
      <c r="B5" s="7">
        <v>582</v>
      </c>
      <c r="C5" s="7">
        <f>B5*1.7</f>
        <v>989.4</v>
      </c>
      <c r="D5" s="7">
        <v>1000</v>
      </c>
      <c r="E5" s="14"/>
    </row>
    <row r="6" spans="1:5" x14ac:dyDescent="0.3">
      <c r="A6" s="6" t="s">
        <v>586</v>
      </c>
      <c r="B6" s="7">
        <v>1380</v>
      </c>
      <c r="C6" s="7">
        <f>B6*1.6</f>
        <v>2208</v>
      </c>
      <c r="D6" s="7">
        <v>2200</v>
      </c>
      <c r="E6" s="14"/>
    </row>
    <row r="7" spans="1:5" x14ac:dyDescent="0.3">
      <c r="A7" s="7" t="s">
        <v>906</v>
      </c>
      <c r="B7" s="7">
        <v>1230</v>
      </c>
      <c r="C7" s="7">
        <f>B7*1.6</f>
        <v>1968</v>
      </c>
      <c r="D7" s="7">
        <v>2000</v>
      </c>
      <c r="E7" s="14"/>
    </row>
    <row r="8" spans="1:5" x14ac:dyDescent="0.3">
      <c r="A8" s="6" t="s">
        <v>477</v>
      </c>
      <c r="B8" s="7">
        <v>1200</v>
      </c>
      <c r="C8" s="7">
        <f>B8*1.6</f>
        <v>1920</v>
      </c>
      <c r="D8" s="7">
        <v>1700</v>
      </c>
      <c r="E8" s="14"/>
    </row>
    <row r="9" spans="1:5" x14ac:dyDescent="0.3">
      <c r="A9" s="6" t="s">
        <v>273</v>
      </c>
      <c r="B9" s="7">
        <v>800</v>
      </c>
      <c r="C9" s="7">
        <f>B9*1.5</f>
        <v>1200</v>
      </c>
      <c r="D9" s="7">
        <v>1200</v>
      </c>
      <c r="E9" s="14"/>
    </row>
    <row r="10" spans="1:5" x14ac:dyDescent="0.3">
      <c r="A10" s="34" t="s">
        <v>1334</v>
      </c>
      <c r="B10" s="35">
        <v>900</v>
      </c>
      <c r="C10" s="7">
        <f>B10*1.6</f>
        <v>1440</v>
      </c>
      <c r="D10" s="35">
        <v>1400</v>
      </c>
      <c r="E10" s="73"/>
    </row>
    <row r="11" spans="1:5" x14ac:dyDescent="0.3">
      <c r="A11" s="48" t="s">
        <v>802</v>
      </c>
      <c r="B11" s="49">
        <v>700</v>
      </c>
      <c r="C11" s="49">
        <f>B11*1.7</f>
        <v>1190</v>
      </c>
      <c r="D11" s="49">
        <v>1200</v>
      </c>
      <c r="E11" s="105"/>
    </row>
    <row r="12" spans="1:5" x14ac:dyDescent="0.3">
      <c r="A12" s="52" t="s">
        <v>801</v>
      </c>
      <c r="B12" s="53">
        <v>1370</v>
      </c>
      <c r="C12" s="53">
        <f>B12*1.6</f>
        <v>2192</v>
      </c>
      <c r="D12" s="53">
        <v>2200</v>
      </c>
      <c r="E12" s="95"/>
    </row>
    <row r="13" spans="1:5" x14ac:dyDescent="0.3">
      <c r="A13" s="48" t="s">
        <v>800</v>
      </c>
      <c r="B13" s="49">
        <v>3300</v>
      </c>
      <c r="C13" s="49">
        <f>B13*1.5</f>
        <v>4950</v>
      </c>
      <c r="D13" s="49">
        <v>4950</v>
      </c>
      <c r="E13" s="105"/>
    </row>
    <row r="14" spans="1:5" x14ac:dyDescent="0.3">
      <c r="A14" s="52" t="s">
        <v>799</v>
      </c>
      <c r="B14" s="53">
        <v>6550</v>
      </c>
      <c r="C14" s="53">
        <f>B14*1.4</f>
        <v>9170</v>
      </c>
      <c r="D14" s="53">
        <v>9200</v>
      </c>
      <c r="E14" s="95">
        <v>6500</v>
      </c>
    </row>
    <row r="15" spans="1:5" x14ac:dyDescent="0.3">
      <c r="A15" s="6" t="s">
        <v>1385</v>
      </c>
      <c r="B15" s="7">
        <v>1670</v>
      </c>
      <c r="C15" s="7">
        <f>B15*1.5</f>
        <v>2505</v>
      </c>
      <c r="D15" s="7">
        <v>2600</v>
      </c>
      <c r="E15" s="14"/>
    </row>
    <row r="16" spans="1:5" x14ac:dyDescent="0.3">
      <c r="A16" s="181" t="s">
        <v>946</v>
      </c>
      <c r="B16" s="182">
        <v>1950</v>
      </c>
      <c r="C16" s="55">
        <f>B16*1.7</f>
        <v>3315</v>
      </c>
      <c r="D16" s="182">
        <v>3300</v>
      </c>
      <c r="E16" s="183"/>
    </row>
    <row r="17" spans="1:5" x14ac:dyDescent="0.3">
      <c r="A17" s="181" t="s">
        <v>945</v>
      </c>
      <c r="B17" s="182">
        <v>3850</v>
      </c>
      <c r="C17" s="55">
        <f>B17*1.6</f>
        <v>6160</v>
      </c>
      <c r="D17" s="182">
        <v>6150</v>
      </c>
      <c r="E17" s="93"/>
    </row>
    <row r="18" spans="1:5" x14ac:dyDescent="0.3">
      <c r="A18" s="54" t="s">
        <v>944</v>
      </c>
      <c r="B18" s="55">
        <v>7650</v>
      </c>
      <c r="C18" s="55">
        <f>B18*1.5</f>
        <v>11475</v>
      </c>
      <c r="D18" s="55">
        <v>11400</v>
      </c>
      <c r="E18" s="93"/>
    </row>
    <row r="19" spans="1:5" x14ac:dyDescent="0.3">
      <c r="A19" s="6" t="s">
        <v>320</v>
      </c>
      <c r="B19" s="7">
        <v>10780</v>
      </c>
      <c r="C19" s="7">
        <f>B19*1.4</f>
        <v>15091.999999999998</v>
      </c>
      <c r="D19" s="7">
        <v>15000</v>
      </c>
      <c r="E19" s="14"/>
    </row>
    <row r="20" spans="1:5" x14ac:dyDescent="0.3">
      <c r="A20" s="6" t="s">
        <v>321</v>
      </c>
      <c r="B20" s="7">
        <v>2750</v>
      </c>
      <c r="C20" s="7">
        <f>B20*1.6</f>
        <v>4400</v>
      </c>
      <c r="D20" s="12">
        <v>4400</v>
      </c>
      <c r="E20" s="14"/>
    </row>
    <row r="21" spans="1:5" x14ac:dyDescent="0.3">
      <c r="A21" s="54" t="s">
        <v>671</v>
      </c>
      <c r="B21" s="55">
        <v>3740</v>
      </c>
      <c r="C21" s="55">
        <f>B21*1.5</f>
        <v>5610</v>
      </c>
      <c r="D21" s="55">
        <v>5500</v>
      </c>
      <c r="E21" s="93"/>
    </row>
    <row r="22" spans="1:5" x14ac:dyDescent="0.3">
      <c r="A22" s="6" t="s">
        <v>1422</v>
      </c>
      <c r="B22" s="7">
        <v>7550</v>
      </c>
      <c r="C22" s="7">
        <f>B22*1.5</f>
        <v>11325</v>
      </c>
      <c r="D22" s="7">
        <v>11300</v>
      </c>
      <c r="E22" s="14"/>
    </row>
    <row r="23" spans="1:5" x14ac:dyDescent="0.3">
      <c r="A23" s="71" t="s">
        <v>804</v>
      </c>
      <c r="B23" s="72">
        <v>1975</v>
      </c>
      <c r="C23" s="7">
        <f>B23*1.6</f>
        <v>3160</v>
      </c>
      <c r="D23" s="72">
        <v>3300</v>
      </c>
      <c r="E23" s="83"/>
    </row>
    <row r="24" spans="1:5" x14ac:dyDescent="0.3">
      <c r="A24" s="6" t="s">
        <v>1420</v>
      </c>
      <c r="B24" s="7">
        <v>7550</v>
      </c>
      <c r="C24" s="7">
        <f>B24*1.5</f>
        <v>11325</v>
      </c>
      <c r="D24" s="7">
        <v>11300</v>
      </c>
      <c r="E24" s="14"/>
    </row>
    <row r="25" spans="1:5" x14ac:dyDescent="0.3">
      <c r="A25" s="6" t="s">
        <v>1421</v>
      </c>
      <c r="B25" s="7">
        <v>1940</v>
      </c>
      <c r="C25" s="7">
        <f>B25*1.6</f>
        <v>3104</v>
      </c>
      <c r="D25" s="7">
        <v>3300</v>
      </c>
      <c r="E25" s="14"/>
    </row>
    <row r="26" spans="1:5" x14ac:dyDescent="0.3">
      <c r="A26" s="54" t="s">
        <v>611</v>
      </c>
      <c r="B26" s="55">
        <v>3500</v>
      </c>
      <c r="C26" s="55">
        <f>B26*1.7</f>
        <v>5950</v>
      </c>
      <c r="D26" s="55">
        <v>5900</v>
      </c>
      <c r="E26" s="93"/>
    </row>
    <row r="27" spans="1:5" x14ac:dyDescent="0.3">
      <c r="A27" s="54" t="s">
        <v>612</v>
      </c>
      <c r="B27" s="55">
        <v>925</v>
      </c>
      <c r="C27" s="55">
        <f>B27*1.8</f>
        <v>1665</v>
      </c>
      <c r="D27" s="55">
        <v>1700</v>
      </c>
      <c r="E27" s="93"/>
    </row>
    <row r="28" spans="1:5" x14ac:dyDescent="0.3">
      <c r="A28" s="54" t="s">
        <v>1270</v>
      </c>
      <c r="B28" s="55">
        <v>2060</v>
      </c>
      <c r="C28" s="55">
        <f>B28*1.6</f>
        <v>3296</v>
      </c>
      <c r="D28" s="55">
        <v>3300</v>
      </c>
      <c r="E28" s="93"/>
    </row>
    <row r="29" spans="1:5" x14ac:dyDescent="0.3">
      <c r="A29" s="54" t="s">
        <v>1271</v>
      </c>
      <c r="B29" s="55">
        <v>4075</v>
      </c>
      <c r="C29" s="55">
        <f>B29*1.5</f>
        <v>6112.5</v>
      </c>
      <c r="D29" s="55">
        <v>6200</v>
      </c>
      <c r="E29" s="93"/>
    </row>
    <row r="30" spans="1:5" x14ac:dyDescent="0.3">
      <c r="A30" s="68" t="s">
        <v>1272</v>
      </c>
      <c r="B30" s="69">
        <v>8100</v>
      </c>
      <c r="C30" s="69">
        <f>B30*1.4</f>
        <v>11340</v>
      </c>
      <c r="D30" s="69">
        <v>11300</v>
      </c>
      <c r="E30" s="70">
        <v>8050</v>
      </c>
    </row>
    <row r="31" spans="1:5" x14ac:dyDescent="0.3">
      <c r="A31" s="64" t="s">
        <v>743</v>
      </c>
      <c r="B31" s="65">
        <v>5550</v>
      </c>
      <c r="C31" s="65">
        <f>B31*1.45</f>
        <v>8047.5</v>
      </c>
      <c r="D31" s="65">
        <v>8000</v>
      </c>
      <c r="E31" s="108">
        <v>5500</v>
      </c>
    </row>
    <row r="32" spans="1:5" x14ac:dyDescent="0.3">
      <c r="A32" s="34" t="s">
        <v>742</v>
      </c>
      <c r="B32" s="35">
        <v>2800</v>
      </c>
      <c r="C32" s="35">
        <f>B32*1.6</f>
        <v>4480</v>
      </c>
      <c r="D32" s="35">
        <v>4500</v>
      </c>
      <c r="E32" s="73"/>
    </row>
    <row r="33" spans="1:5" x14ac:dyDescent="0.3">
      <c r="A33" s="64" t="s">
        <v>741</v>
      </c>
      <c r="B33" s="65">
        <v>1425</v>
      </c>
      <c r="C33" s="65">
        <f>B33*1.7</f>
        <v>2422.5</v>
      </c>
      <c r="D33" s="65">
        <v>2400</v>
      </c>
      <c r="E33" s="108"/>
    </row>
    <row r="34" spans="1:5" x14ac:dyDescent="0.3">
      <c r="A34" s="6" t="s">
        <v>1079</v>
      </c>
      <c r="B34" s="7">
        <v>1000</v>
      </c>
      <c r="C34" s="7">
        <f>B34*1.5</f>
        <v>1500</v>
      </c>
      <c r="D34" s="7">
        <v>1500</v>
      </c>
      <c r="E34" s="14"/>
    </row>
    <row r="35" spans="1:5" x14ac:dyDescent="0.3">
      <c r="A35" s="6" t="s">
        <v>1080</v>
      </c>
      <c r="B35" s="7">
        <v>1000</v>
      </c>
      <c r="C35" s="7">
        <f>B35*1.7</f>
        <v>1700</v>
      </c>
      <c r="D35" s="7">
        <v>1500</v>
      </c>
      <c r="E35" s="14"/>
    </row>
    <row r="36" spans="1:5" x14ac:dyDescent="0.3">
      <c r="A36" s="6" t="s">
        <v>905</v>
      </c>
      <c r="B36" s="7">
        <v>1300</v>
      </c>
      <c r="C36" s="7">
        <f>B36*1.5</f>
        <v>1950</v>
      </c>
      <c r="D36" s="12">
        <v>2000</v>
      </c>
      <c r="E36" s="14"/>
    </row>
    <row r="37" spans="1:5" x14ac:dyDescent="0.3">
      <c r="A37" s="6" t="s">
        <v>1339</v>
      </c>
      <c r="B37" s="7">
        <v>5300</v>
      </c>
      <c r="C37" s="7">
        <f>B37*1.4</f>
        <v>7419.9999999999991</v>
      </c>
      <c r="D37" s="7">
        <v>7400</v>
      </c>
      <c r="E37" s="14"/>
    </row>
    <row r="38" spans="1:5" x14ac:dyDescent="0.3">
      <c r="A38" s="6" t="s">
        <v>585</v>
      </c>
      <c r="B38" s="7">
        <v>1380</v>
      </c>
      <c r="C38" s="7">
        <f>B38*1.6</f>
        <v>2208</v>
      </c>
      <c r="D38" s="7">
        <v>2200</v>
      </c>
      <c r="E38" s="14"/>
    </row>
    <row r="39" spans="1:5" x14ac:dyDescent="0.3">
      <c r="A39" s="52" t="s">
        <v>136</v>
      </c>
      <c r="B39" s="53">
        <v>5750</v>
      </c>
      <c r="C39" s="53">
        <f>B39*1.5</f>
        <v>8625</v>
      </c>
      <c r="D39" s="53">
        <v>8600</v>
      </c>
      <c r="E39" s="95"/>
    </row>
    <row r="40" spans="1:5" x14ac:dyDescent="0.3">
      <c r="A40" s="52" t="s">
        <v>178</v>
      </c>
      <c r="B40" s="53">
        <v>1505</v>
      </c>
      <c r="C40" s="53">
        <f>B40*1.7</f>
        <v>2558.5</v>
      </c>
      <c r="D40" s="53">
        <v>2300</v>
      </c>
      <c r="E40" s="95"/>
    </row>
    <row r="41" spans="1:5" x14ac:dyDescent="0.3">
      <c r="A41" s="6" t="s">
        <v>1081</v>
      </c>
      <c r="B41" s="7">
        <v>800</v>
      </c>
      <c r="C41" s="7">
        <f>B41*1.6</f>
        <v>1280</v>
      </c>
      <c r="D41" s="7">
        <v>1300</v>
      </c>
      <c r="E41" s="14"/>
    </row>
    <row r="42" spans="1:5" x14ac:dyDescent="0.3">
      <c r="A42" s="34" t="s">
        <v>468</v>
      </c>
      <c r="B42" s="35">
        <v>1466</v>
      </c>
      <c r="C42" s="7">
        <f>B42*1.5</f>
        <v>2199</v>
      </c>
      <c r="D42" s="35">
        <v>2200</v>
      </c>
      <c r="E42" s="73"/>
    </row>
    <row r="43" spans="1:5" x14ac:dyDescent="0.3">
      <c r="A43" s="6"/>
      <c r="B43" s="7"/>
      <c r="C43" s="7">
        <f>B43*1.5</f>
        <v>0</v>
      </c>
      <c r="D43" s="7"/>
      <c r="E43" s="14"/>
    </row>
    <row r="44" spans="1:5" x14ac:dyDescent="0.3">
      <c r="A44" s="6"/>
      <c r="B44" s="7"/>
      <c r="C44" s="7"/>
      <c r="D44" s="7"/>
      <c r="E44" s="14"/>
    </row>
    <row r="45" spans="1:5" x14ac:dyDescent="0.3">
      <c r="A45" s="6"/>
      <c r="B45" s="7"/>
      <c r="C45" s="7"/>
      <c r="D45" s="7"/>
      <c r="E45" s="14"/>
    </row>
    <row r="46" spans="1:5" x14ac:dyDescent="0.3">
      <c r="A46" s="6"/>
      <c r="B46" s="7"/>
      <c r="C46" s="7"/>
      <c r="D46" s="7"/>
      <c r="E46" s="14"/>
    </row>
    <row r="47" spans="1:5" x14ac:dyDescent="0.3">
      <c r="A47" s="6"/>
      <c r="B47" s="7"/>
      <c r="C47" s="7"/>
      <c r="D47" s="7"/>
      <c r="E47" s="14"/>
    </row>
    <row r="48" spans="1:5" x14ac:dyDescent="0.3">
      <c r="A48" s="6"/>
      <c r="B48" s="7"/>
      <c r="C48" s="7"/>
      <c r="D48" s="7"/>
      <c r="E48" s="14"/>
    </row>
    <row r="49" spans="1:5" x14ac:dyDescent="0.3">
      <c r="A49" s="6"/>
      <c r="B49" s="7"/>
      <c r="C49" s="7"/>
      <c r="D49" s="7"/>
      <c r="E49" s="14"/>
    </row>
    <row r="50" spans="1:5" x14ac:dyDescent="0.3">
      <c r="A50" s="6"/>
      <c r="B50" s="7"/>
      <c r="C50" s="7"/>
      <c r="D50" s="7"/>
      <c r="E50" s="14"/>
    </row>
    <row r="51" spans="1:5" x14ac:dyDescent="0.3">
      <c r="A51" s="6"/>
      <c r="B51" s="7"/>
      <c r="C51" s="7"/>
      <c r="D51" s="7"/>
      <c r="E51" s="14"/>
    </row>
    <row r="52" spans="1:5" x14ac:dyDescent="0.3">
      <c r="A52" s="6"/>
      <c r="B52" s="7"/>
      <c r="C52" s="7"/>
      <c r="D52" s="7"/>
      <c r="E52" s="14"/>
    </row>
    <row r="53" spans="1:5" x14ac:dyDescent="0.3">
      <c r="A53" s="6"/>
      <c r="B53" s="7"/>
      <c r="C53" s="7"/>
      <c r="D53" s="7"/>
      <c r="E53" s="14"/>
    </row>
    <row r="54" spans="1:5" x14ac:dyDescent="0.3">
      <c r="A54" s="6"/>
      <c r="B54" s="7"/>
      <c r="C54" s="7"/>
      <c r="D54" s="7"/>
      <c r="E54" s="14"/>
    </row>
    <row r="55" spans="1:5" x14ac:dyDescent="0.3">
      <c r="A55" s="6"/>
      <c r="B55" s="7"/>
      <c r="C55" s="7"/>
      <c r="D55" s="7"/>
      <c r="E55" s="14"/>
    </row>
    <row r="56" spans="1:5" x14ac:dyDescent="0.3">
      <c r="A56" s="6"/>
      <c r="B56" s="7"/>
      <c r="C56" s="7"/>
      <c r="D56" s="7"/>
      <c r="E56" s="14"/>
    </row>
    <row r="57" spans="1:5" x14ac:dyDescent="0.3">
      <c r="A57" s="6"/>
      <c r="B57" s="7"/>
      <c r="C57" s="7"/>
      <c r="D57" s="7"/>
      <c r="E57" s="14"/>
    </row>
    <row r="58" spans="1:5" x14ac:dyDescent="0.3">
      <c r="A58" s="6"/>
      <c r="B58" s="7"/>
      <c r="C58" s="7"/>
      <c r="D58" s="7"/>
      <c r="E58" s="14"/>
    </row>
    <row r="59" spans="1:5" x14ac:dyDescent="0.3">
      <c r="A59" s="6"/>
      <c r="B59" s="7"/>
      <c r="C59" s="7"/>
      <c r="D59" s="7"/>
      <c r="E59" s="14"/>
    </row>
    <row r="60" spans="1:5" x14ac:dyDescent="0.3">
      <c r="A60" s="6"/>
      <c r="B60" s="7"/>
      <c r="C60" s="7"/>
      <c r="D60" s="7"/>
      <c r="E60" s="14"/>
    </row>
    <row r="61" spans="1:5" x14ac:dyDescent="0.3">
      <c r="A61" s="6"/>
      <c r="B61" s="7"/>
      <c r="C61" s="7"/>
      <c r="D61" s="7"/>
      <c r="E61" s="14"/>
    </row>
    <row r="62" spans="1:5" x14ac:dyDescent="0.3">
      <c r="A62" s="6"/>
      <c r="B62" s="7"/>
      <c r="C62" s="7"/>
      <c r="D62" s="7"/>
      <c r="E62" s="14"/>
    </row>
    <row r="63" spans="1:5" x14ac:dyDescent="0.3">
      <c r="A63" s="6"/>
      <c r="B63" s="7"/>
      <c r="C63" s="7"/>
      <c r="D63" s="7"/>
      <c r="E63" s="14"/>
    </row>
    <row r="64" spans="1:5" x14ac:dyDescent="0.3">
      <c r="A64" s="6"/>
      <c r="B64" s="7"/>
      <c r="C64" s="7"/>
      <c r="D64" s="7"/>
      <c r="E64" s="14"/>
    </row>
    <row r="65" spans="1:5" x14ac:dyDescent="0.3">
      <c r="A65" s="6"/>
      <c r="B65" s="7"/>
      <c r="C65" s="7"/>
      <c r="D65" s="7"/>
      <c r="E65" s="14"/>
    </row>
    <row r="66" spans="1:5" x14ac:dyDescent="0.3">
      <c r="A66" s="6"/>
      <c r="B66" s="7"/>
      <c r="C66" s="7"/>
      <c r="D66" s="7"/>
      <c r="E66" s="14"/>
    </row>
    <row r="67" spans="1:5" x14ac:dyDescent="0.3">
      <c r="A67" s="6"/>
      <c r="B67" s="7"/>
      <c r="C67" s="7"/>
      <c r="D67" s="7"/>
      <c r="E67" s="14"/>
    </row>
    <row r="68" spans="1:5" x14ac:dyDescent="0.3">
      <c r="A68" s="6"/>
      <c r="B68" s="7"/>
      <c r="C68" s="7"/>
      <c r="D68" s="7"/>
      <c r="E68" s="14"/>
    </row>
    <row r="69" spans="1:5" x14ac:dyDescent="0.3">
      <c r="A69" s="6"/>
      <c r="B69" s="7"/>
      <c r="C69" s="7"/>
      <c r="D69" s="7"/>
      <c r="E69" s="14"/>
    </row>
    <row r="70" spans="1:5" x14ac:dyDescent="0.3">
      <c r="A70" s="6"/>
      <c r="B70" s="7"/>
      <c r="C70" s="7"/>
      <c r="D70" s="7"/>
      <c r="E70" s="14"/>
    </row>
    <row r="71" spans="1:5" x14ac:dyDescent="0.3">
      <c r="A71" s="6"/>
      <c r="B71" s="7"/>
      <c r="C71" s="7"/>
      <c r="D71" s="7"/>
      <c r="E71" s="14"/>
    </row>
    <row r="72" spans="1:5" x14ac:dyDescent="0.3">
      <c r="A72" s="6"/>
      <c r="B72" s="7"/>
      <c r="C72" s="7"/>
      <c r="D72" s="7"/>
      <c r="E72" s="14"/>
    </row>
    <row r="73" spans="1:5" x14ac:dyDescent="0.3">
      <c r="A73" s="6"/>
      <c r="B73" s="7"/>
      <c r="C73" s="7"/>
      <c r="D73" s="7"/>
      <c r="E73" s="14"/>
    </row>
    <row r="74" spans="1:5" x14ac:dyDescent="0.3">
      <c r="A74" s="6"/>
      <c r="B74" s="7"/>
      <c r="C74" s="7"/>
      <c r="D74" s="7"/>
      <c r="E74" s="14"/>
    </row>
    <row r="75" spans="1:5" x14ac:dyDescent="0.3">
      <c r="A75" s="6"/>
      <c r="B75" s="7"/>
      <c r="C75" s="7"/>
      <c r="D75" s="7"/>
      <c r="E75" s="14"/>
    </row>
    <row r="76" spans="1:5" x14ac:dyDescent="0.3">
      <c r="A76" s="6"/>
      <c r="B76" s="7"/>
      <c r="C76" s="7"/>
      <c r="D76" s="7"/>
      <c r="E76" s="14"/>
    </row>
    <row r="77" spans="1:5" x14ac:dyDescent="0.3">
      <c r="A77" s="6"/>
      <c r="B77" s="7"/>
      <c r="C77" s="7"/>
      <c r="D77" s="7"/>
      <c r="E77" s="14"/>
    </row>
    <row r="78" spans="1:5" x14ac:dyDescent="0.3">
      <c r="A78" s="6"/>
      <c r="B78" s="7"/>
      <c r="C78" s="7"/>
      <c r="D78" s="7"/>
      <c r="E78" s="14"/>
    </row>
    <row r="79" spans="1:5" x14ac:dyDescent="0.3">
      <c r="A79" s="6"/>
      <c r="B79" s="7"/>
      <c r="C79" s="7"/>
      <c r="D79" s="7"/>
      <c r="E79" s="14"/>
    </row>
    <row r="80" spans="1:5" x14ac:dyDescent="0.3">
      <c r="A80" s="6"/>
      <c r="B80" s="7"/>
      <c r="C80" s="7"/>
      <c r="D80" s="7"/>
      <c r="E80" s="14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170E4-F191-4C36-8373-2A2D52594618}">
  <sheetPr codeName="Hoja3">
    <tabColor theme="8" tint="0.59999389629810485"/>
  </sheetPr>
  <dimension ref="A1:E134"/>
  <sheetViews>
    <sheetView workbookViewId="0">
      <selection activeCell="A2" sqref="A2:A133 D2:D133"/>
    </sheetView>
  </sheetViews>
  <sheetFormatPr baseColWidth="10" defaultRowHeight="14.4" x14ac:dyDescent="0.3"/>
  <cols>
    <col min="1" max="1" width="73.44140625" style="6" customWidth="1"/>
    <col min="2" max="2" width="17.88671875" style="6" bestFit="1" customWidth="1"/>
    <col min="3" max="3" width="23.33203125" style="6" bestFit="1" customWidth="1"/>
    <col min="4" max="4" width="19" style="6" bestFit="1" customWidth="1"/>
    <col min="5" max="5" width="17.6640625" customWidth="1"/>
  </cols>
  <sheetData>
    <row r="1" spans="1:5" x14ac:dyDescent="0.3">
      <c r="A1" s="4" t="s">
        <v>0</v>
      </c>
      <c r="B1" s="5" t="s">
        <v>7</v>
      </c>
      <c r="C1" s="5" t="s">
        <v>1</v>
      </c>
      <c r="D1" s="5" t="s">
        <v>2</v>
      </c>
      <c r="E1" s="18" t="s">
        <v>35</v>
      </c>
    </row>
    <row r="2" spans="1:5" x14ac:dyDescent="0.3">
      <c r="A2" s="6" t="s">
        <v>857</v>
      </c>
      <c r="B2" s="6">
        <v>2500</v>
      </c>
      <c r="C2" s="7">
        <f>B2*1.8</f>
        <v>4500</v>
      </c>
      <c r="D2" s="6">
        <v>4500</v>
      </c>
      <c r="E2" s="6"/>
    </row>
    <row r="3" spans="1:5" x14ac:dyDescent="0.3">
      <c r="A3" s="6" t="s">
        <v>369</v>
      </c>
      <c r="B3" s="6">
        <v>450</v>
      </c>
      <c r="C3" s="7">
        <f>B3*1.7</f>
        <v>765</v>
      </c>
      <c r="D3" s="6">
        <v>800</v>
      </c>
      <c r="E3" s="6"/>
    </row>
    <row r="4" spans="1:5" x14ac:dyDescent="0.3">
      <c r="A4" s="6" t="s">
        <v>1242</v>
      </c>
      <c r="B4" s="6">
        <v>4220</v>
      </c>
      <c r="C4" s="7">
        <f>B4*1.6</f>
        <v>6752</v>
      </c>
      <c r="D4" s="6">
        <v>6800</v>
      </c>
    </row>
    <row r="5" spans="1:5" x14ac:dyDescent="0.3">
      <c r="A5" s="6" t="s">
        <v>459</v>
      </c>
      <c r="B5" s="6">
        <v>1850</v>
      </c>
      <c r="C5" s="7">
        <f>B5*1.65</f>
        <v>3052.5</v>
      </c>
      <c r="D5" s="6">
        <v>3000</v>
      </c>
      <c r="E5" s="6"/>
    </row>
    <row r="6" spans="1:5" x14ac:dyDescent="0.3">
      <c r="A6" s="6" t="s">
        <v>523</v>
      </c>
      <c r="B6" s="6">
        <v>5200</v>
      </c>
      <c r="C6" s="7">
        <f>B6*1.5</f>
        <v>7800</v>
      </c>
      <c r="D6" s="6">
        <v>7800</v>
      </c>
      <c r="E6" s="6"/>
    </row>
    <row r="7" spans="1:5" x14ac:dyDescent="0.3">
      <c r="A7" s="6" t="s">
        <v>137</v>
      </c>
      <c r="B7" s="6">
        <v>1910</v>
      </c>
      <c r="C7" s="7">
        <f>B7*1.8</f>
        <v>3438</v>
      </c>
      <c r="D7" s="6">
        <v>4700</v>
      </c>
      <c r="E7" s="6"/>
    </row>
    <row r="8" spans="1:5" x14ac:dyDescent="0.3">
      <c r="A8" s="6" t="s">
        <v>763</v>
      </c>
      <c r="B8" s="6">
        <v>5630</v>
      </c>
      <c r="C8" s="7">
        <f>B8*1.6</f>
        <v>9008</v>
      </c>
      <c r="D8" s="6">
        <v>9000</v>
      </c>
      <c r="E8" s="6"/>
    </row>
    <row r="9" spans="1:5" x14ac:dyDescent="0.3">
      <c r="A9" s="6" t="s">
        <v>1067</v>
      </c>
      <c r="B9" s="6">
        <v>8100</v>
      </c>
      <c r="C9" s="7">
        <f>B9*1.5</f>
        <v>12150</v>
      </c>
      <c r="D9" s="6">
        <v>12200</v>
      </c>
      <c r="E9" s="6"/>
    </row>
    <row r="10" spans="1:5" x14ac:dyDescent="0.3">
      <c r="A10" s="54" t="s">
        <v>1395</v>
      </c>
      <c r="B10" s="54">
        <v>8424</v>
      </c>
      <c r="C10" s="55">
        <f>B10*1.6</f>
        <v>13478.400000000001</v>
      </c>
      <c r="D10" s="54">
        <v>13500</v>
      </c>
      <c r="E10" s="181"/>
    </row>
    <row r="11" spans="1:5" x14ac:dyDescent="0.3">
      <c r="A11" s="54" t="s">
        <v>1394</v>
      </c>
      <c r="B11" s="54">
        <v>7880</v>
      </c>
      <c r="C11" s="55">
        <f>B11*1.6</f>
        <v>12608</v>
      </c>
      <c r="D11" s="54">
        <v>12600</v>
      </c>
      <c r="E11" s="181"/>
    </row>
    <row r="12" spans="1:5" x14ac:dyDescent="0.3">
      <c r="A12" s="6" t="s">
        <v>1116</v>
      </c>
      <c r="B12" s="6">
        <v>2400</v>
      </c>
      <c r="C12" s="7">
        <f>B12*1.7</f>
        <v>4080</v>
      </c>
      <c r="D12" s="6">
        <v>4500</v>
      </c>
      <c r="E12" s="6"/>
    </row>
    <row r="13" spans="1:5" x14ac:dyDescent="0.3">
      <c r="A13" s="6" t="s">
        <v>472</v>
      </c>
      <c r="B13" s="6">
        <v>5960</v>
      </c>
      <c r="C13" s="7">
        <f>B13*1.5</f>
        <v>8940</v>
      </c>
      <c r="D13" s="6">
        <v>8900</v>
      </c>
      <c r="E13" s="6"/>
    </row>
    <row r="14" spans="1:5" x14ac:dyDescent="0.3">
      <c r="A14" s="6" t="s">
        <v>225</v>
      </c>
      <c r="B14" s="6">
        <v>1880</v>
      </c>
      <c r="C14" s="7">
        <f>B14*1.6</f>
        <v>3008</v>
      </c>
      <c r="D14" s="6">
        <v>3000</v>
      </c>
      <c r="E14" s="6"/>
    </row>
    <row r="15" spans="1:5" x14ac:dyDescent="0.3">
      <c r="A15" s="6" t="s">
        <v>1007</v>
      </c>
      <c r="B15" s="6">
        <v>6050</v>
      </c>
      <c r="C15" s="7">
        <f>B15*1.6</f>
        <v>9680</v>
      </c>
      <c r="D15" s="6">
        <v>9700</v>
      </c>
      <c r="E15" s="6"/>
    </row>
    <row r="16" spans="1:5" x14ac:dyDescent="0.3">
      <c r="A16" s="6" t="s">
        <v>177</v>
      </c>
      <c r="B16" s="6">
        <v>1200</v>
      </c>
      <c r="C16" s="7">
        <f>B16*1.5</f>
        <v>1800</v>
      </c>
      <c r="D16" s="6">
        <v>1900</v>
      </c>
      <c r="E16" s="6"/>
    </row>
    <row r="17" spans="1:5" x14ac:dyDescent="0.3">
      <c r="A17" s="6" t="s">
        <v>138</v>
      </c>
      <c r="B17" s="6">
        <v>2569</v>
      </c>
      <c r="C17" s="7">
        <f>B17*1.4</f>
        <v>3596.6</v>
      </c>
      <c r="D17" s="6">
        <v>2800</v>
      </c>
      <c r="E17" s="6"/>
    </row>
    <row r="18" spans="1:5" x14ac:dyDescent="0.3">
      <c r="A18" s="6" t="s">
        <v>675</v>
      </c>
      <c r="B18" s="6">
        <v>14300</v>
      </c>
      <c r="C18" s="7">
        <f>B18*1.4</f>
        <v>20020</v>
      </c>
      <c r="D18" s="6">
        <v>19500</v>
      </c>
      <c r="E18" s="6"/>
    </row>
    <row r="19" spans="1:5" x14ac:dyDescent="0.3">
      <c r="A19" s="6" t="s">
        <v>139</v>
      </c>
      <c r="B19" s="6">
        <v>1750</v>
      </c>
      <c r="C19" s="7">
        <f>B19*1.5</f>
        <v>2625</v>
      </c>
      <c r="D19" s="6">
        <v>2700</v>
      </c>
      <c r="E19" s="6"/>
    </row>
    <row r="20" spans="1:5" x14ac:dyDescent="0.3">
      <c r="A20" s="6" t="s">
        <v>1011</v>
      </c>
      <c r="B20" s="6">
        <v>9400</v>
      </c>
      <c r="C20" s="7">
        <f>B20*1.6</f>
        <v>15040</v>
      </c>
      <c r="D20" s="6">
        <v>15000</v>
      </c>
      <c r="E20" s="6"/>
    </row>
    <row r="21" spans="1:5" x14ac:dyDescent="0.3">
      <c r="A21" s="6" t="s">
        <v>512</v>
      </c>
      <c r="B21" s="6">
        <v>682</v>
      </c>
      <c r="C21" s="7">
        <f>B21*1.6</f>
        <v>1091.2</v>
      </c>
      <c r="D21" s="6">
        <v>1100</v>
      </c>
      <c r="E21" s="6"/>
    </row>
    <row r="22" spans="1:5" x14ac:dyDescent="0.3">
      <c r="A22" s="6" t="s">
        <v>1010</v>
      </c>
      <c r="B22" s="6">
        <v>6450</v>
      </c>
      <c r="C22" s="7">
        <f>B22*1.6</f>
        <v>10320</v>
      </c>
      <c r="D22" s="6">
        <v>9500</v>
      </c>
      <c r="E22" s="6"/>
    </row>
    <row r="23" spans="1:5" x14ac:dyDescent="0.3">
      <c r="A23" s="6" t="s">
        <v>140</v>
      </c>
      <c r="B23" s="6">
        <v>1880</v>
      </c>
      <c r="C23" s="7">
        <f>B23*1.5</f>
        <v>2820</v>
      </c>
      <c r="D23" s="6">
        <v>2800</v>
      </c>
      <c r="E23" s="6"/>
    </row>
    <row r="24" spans="1:5" x14ac:dyDescent="0.3">
      <c r="A24" s="6" t="s">
        <v>821</v>
      </c>
      <c r="B24" s="6">
        <v>2500</v>
      </c>
      <c r="C24" s="7">
        <f>B24*1.6</f>
        <v>4000</v>
      </c>
      <c r="D24" s="6">
        <v>3900</v>
      </c>
      <c r="E24" s="6"/>
    </row>
    <row r="25" spans="1:5" x14ac:dyDescent="0.3">
      <c r="A25" s="6" t="s">
        <v>674</v>
      </c>
      <c r="B25" s="6">
        <v>3200</v>
      </c>
      <c r="C25" s="7">
        <f>B25*1.4</f>
        <v>4480</v>
      </c>
      <c r="D25" s="6">
        <v>4500</v>
      </c>
      <c r="E25" s="6"/>
    </row>
    <row r="26" spans="1:5" x14ac:dyDescent="0.3">
      <c r="A26" s="6" t="s">
        <v>63</v>
      </c>
      <c r="C26" s="7">
        <f>B26*1.8</f>
        <v>0</v>
      </c>
      <c r="D26" s="6">
        <v>1500</v>
      </c>
      <c r="E26" s="6"/>
    </row>
    <row r="27" spans="1:5" x14ac:dyDescent="0.3">
      <c r="A27" s="34" t="s">
        <v>1005</v>
      </c>
      <c r="B27" s="34">
        <v>14124</v>
      </c>
      <c r="C27" s="35">
        <f>B27*1.6</f>
        <v>22598.400000000001</v>
      </c>
      <c r="D27" s="34">
        <v>22500</v>
      </c>
      <c r="E27" s="196"/>
    </row>
    <row r="28" spans="1:5" x14ac:dyDescent="0.3">
      <c r="A28" s="66" t="s">
        <v>1004</v>
      </c>
      <c r="B28" s="66">
        <v>8740</v>
      </c>
      <c r="C28" s="67">
        <f>B28*1.6</f>
        <v>13984</v>
      </c>
      <c r="D28" s="66">
        <v>14000</v>
      </c>
      <c r="E28" s="66"/>
    </row>
    <row r="29" spans="1:5" x14ac:dyDescent="0.3">
      <c r="A29" s="34" t="s">
        <v>1393</v>
      </c>
      <c r="B29" s="34">
        <v>9400</v>
      </c>
      <c r="C29" s="35">
        <f>B29*1.6</f>
        <v>15040</v>
      </c>
      <c r="D29" s="34">
        <v>15000</v>
      </c>
      <c r="E29" s="34"/>
    </row>
    <row r="30" spans="1:5" x14ac:dyDescent="0.3">
      <c r="A30" s="6" t="s">
        <v>1009</v>
      </c>
      <c r="B30" s="6">
        <v>16200</v>
      </c>
      <c r="C30" s="7">
        <f>B30*1.4</f>
        <v>22680</v>
      </c>
      <c r="D30" s="6">
        <v>19500</v>
      </c>
      <c r="E30" s="6"/>
    </row>
    <row r="31" spans="1:5" x14ac:dyDescent="0.3">
      <c r="A31" s="6" t="s">
        <v>141</v>
      </c>
      <c r="B31" s="6">
        <v>1920</v>
      </c>
      <c r="C31" s="7">
        <f>B31*1.8</f>
        <v>3456</v>
      </c>
      <c r="D31" s="6">
        <v>3450</v>
      </c>
      <c r="E31" s="6"/>
    </row>
    <row r="32" spans="1:5" x14ac:dyDescent="0.3">
      <c r="A32" s="6" t="s">
        <v>1386</v>
      </c>
      <c r="B32" s="6">
        <v>4900</v>
      </c>
      <c r="C32" s="7">
        <f>B32*1.6</f>
        <v>7840</v>
      </c>
      <c r="D32" s="6">
        <v>7900</v>
      </c>
    </row>
    <row r="33" spans="1:5" x14ac:dyDescent="0.3">
      <c r="A33" s="6" t="s">
        <v>825</v>
      </c>
      <c r="B33" s="6">
        <v>1000</v>
      </c>
      <c r="C33" s="7">
        <f>B33*1.8</f>
        <v>1800</v>
      </c>
      <c r="D33" s="6">
        <v>2400</v>
      </c>
      <c r="E33" s="6"/>
    </row>
    <row r="34" spans="1:5" x14ac:dyDescent="0.3">
      <c r="A34" s="6" t="s">
        <v>826</v>
      </c>
      <c r="B34" s="6">
        <v>500</v>
      </c>
      <c r="C34" s="7">
        <f>B34*1.8</f>
        <v>900</v>
      </c>
      <c r="D34" s="6">
        <v>1400</v>
      </c>
      <c r="E34" s="6"/>
    </row>
    <row r="35" spans="1:5" x14ac:dyDescent="0.3">
      <c r="A35" s="90" t="s">
        <v>827</v>
      </c>
      <c r="B35" s="91">
        <v>1000</v>
      </c>
      <c r="C35" s="7">
        <f>B35*1.7</f>
        <v>1700</v>
      </c>
      <c r="D35" s="91">
        <v>1800</v>
      </c>
      <c r="E35" s="90"/>
    </row>
    <row r="36" spans="1:5" x14ac:dyDescent="0.3">
      <c r="A36" s="92" t="s">
        <v>828</v>
      </c>
      <c r="B36" s="92">
        <v>500</v>
      </c>
      <c r="C36" s="7">
        <f>B36*1.8</f>
        <v>900</v>
      </c>
      <c r="D36" s="92">
        <v>1000</v>
      </c>
      <c r="E36" s="92"/>
    </row>
    <row r="37" spans="1:5" x14ac:dyDescent="0.3">
      <c r="A37" s="6" t="s">
        <v>157</v>
      </c>
      <c r="B37" s="6">
        <v>3490</v>
      </c>
      <c r="C37" s="7">
        <f>B37*1.6</f>
        <v>5584</v>
      </c>
      <c r="D37" s="6">
        <v>5500</v>
      </c>
      <c r="E37" s="6"/>
    </row>
    <row r="38" spans="1:5" x14ac:dyDescent="0.3">
      <c r="A38" s="64" t="s">
        <v>1389</v>
      </c>
      <c r="B38" s="64">
        <v>15384</v>
      </c>
      <c r="C38" s="65">
        <f>B38*1.4</f>
        <v>21537.599999999999</v>
      </c>
      <c r="D38" s="64">
        <v>22000</v>
      </c>
      <c r="E38" s="210"/>
    </row>
    <row r="39" spans="1:5" x14ac:dyDescent="0.3">
      <c r="A39" s="54" t="s">
        <v>1401</v>
      </c>
      <c r="B39" s="54">
        <v>8700</v>
      </c>
      <c r="C39" s="55">
        <f>B39*1.5</f>
        <v>13050</v>
      </c>
      <c r="D39" s="54">
        <v>13500</v>
      </c>
      <c r="E39" s="54"/>
    </row>
    <row r="40" spans="1:5" x14ac:dyDescent="0.3">
      <c r="A40" s="64" t="s">
        <v>1402</v>
      </c>
      <c r="B40" s="64">
        <v>10200</v>
      </c>
      <c r="C40" s="65">
        <f>B40*1.6</f>
        <v>16320</v>
      </c>
      <c r="D40" s="64">
        <v>16500</v>
      </c>
      <c r="E40" s="64"/>
    </row>
    <row r="41" spans="1:5" x14ac:dyDescent="0.3">
      <c r="A41" s="54" t="s">
        <v>1403</v>
      </c>
      <c r="B41" s="54">
        <v>10400</v>
      </c>
      <c r="C41" s="55">
        <f>B41*1.6</f>
        <v>16640</v>
      </c>
      <c r="D41" s="54">
        <v>16300</v>
      </c>
      <c r="E41" s="54"/>
    </row>
    <row r="42" spans="1:5" x14ac:dyDescent="0.3">
      <c r="A42" s="64" t="s">
        <v>1404</v>
      </c>
      <c r="B42" s="64">
        <v>12700</v>
      </c>
      <c r="C42" s="65">
        <f>B42*1.6</f>
        <v>20320</v>
      </c>
      <c r="D42" s="64">
        <v>18900</v>
      </c>
      <c r="E42" s="64"/>
    </row>
    <row r="43" spans="1:5" x14ac:dyDescent="0.3">
      <c r="A43" s="54" t="s">
        <v>1405</v>
      </c>
      <c r="B43" s="54">
        <v>8500</v>
      </c>
      <c r="C43" s="55">
        <f>B43*1.5</f>
        <v>12750</v>
      </c>
      <c r="D43" s="54">
        <v>12900</v>
      </c>
      <c r="E43" s="54"/>
    </row>
    <row r="44" spans="1:5" x14ac:dyDescent="0.3">
      <c r="A44" s="64" t="s">
        <v>1406</v>
      </c>
      <c r="B44" s="64">
        <v>13500</v>
      </c>
      <c r="C44" s="65">
        <f>B44*1.5</f>
        <v>20250</v>
      </c>
      <c r="D44" s="64">
        <v>19500</v>
      </c>
      <c r="E44" s="64"/>
    </row>
    <row r="45" spans="1:5" x14ac:dyDescent="0.3">
      <c r="A45" s="54" t="s">
        <v>1388</v>
      </c>
      <c r="B45" s="54">
        <v>9900</v>
      </c>
      <c r="C45" s="55">
        <f>B45*1.5</f>
        <v>14850</v>
      </c>
      <c r="D45" s="54">
        <v>14000</v>
      </c>
      <c r="E45" s="181"/>
    </row>
    <row r="46" spans="1:5" x14ac:dyDescent="0.3">
      <c r="A46" s="64" t="s">
        <v>1407</v>
      </c>
      <c r="B46" s="64">
        <v>11500</v>
      </c>
      <c r="C46" s="65">
        <f>B46*1.5</f>
        <v>17250</v>
      </c>
      <c r="D46" s="64">
        <v>16800</v>
      </c>
      <c r="E46" s="64"/>
    </row>
    <row r="47" spans="1:5" x14ac:dyDescent="0.3">
      <c r="A47" s="54" t="s">
        <v>1387</v>
      </c>
      <c r="B47" s="54">
        <v>12800</v>
      </c>
      <c r="C47" s="55">
        <f>B47*1.5</f>
        <v>19200</v>
      </c>
      <c r="D47" s="54">
        <v>18900</v>
      </c>
      <c r="E47" s="181"/>
    </row>
    <row r="48" spans="1:5" x14ac:dyDescent="0.3">
      <c r="A48" s="64" t="s">
        <v>1398</v>
      </c>
      <c r="B48" s="64">
        <v>7450</v>
      </c>
      <c r="C48" s="65">
        <f>B48*1.6</f>
        <v>11920</v>
      </c>
      <c r="D48" s="64">
        <v>11900</v>
      </c>
      <c r="E48" s="210"/>
    </row>
    <row r="49" spans="1:5" x14ac:dyDescent="0.3">
      <c r="A49" s="54" t="s">
        <v>1408</v>
      </c>
      <c r="B49" s="54">
        <v>12460</v>
      </c>
      <c r="C49" s="55">
        <f>B49*1.5</f>
        <v>18690</v>
      </c>
      <c r="D49" s="54">
        <v>17900</v>
      </c>
      <c r="E49" s="181"/>
    </row>
    <row r="50" spans="1:5" x14ac:dyDescent="0.3">
      <c r="A50" s="64" t="s">
        <v>1399</v>
      </c>
      <c r="B50" s="64">
        <v>12500</v>
      </c>
      <c r="C50" s="65">
        <f>B50*1.5</f>
        <v>18750</v>
      </c>
      <c r="D50" s="64">
        <v>18800</v>
      </c>
      <c r="E50" s="64"/>
    </row>
    <row r="51" spans="1:5" x14ac:dyDescent="0.3">
      <c r="A51" s="54" t="s">
        <v>1409</v>
      </c>
      <c r="B51" s="54">
        <v>11630</v>
      </c>
      <c r="C51" s="55">
        <f>B51*1.5</f>
        <v>17445</v>
      </c>
      <c r="D51" s="54">
        <v>17400</v>
      </c>
      <c r="E51" s="181"/>
    </row>
    <row r="52" spans="1:5" x14ac:dyDescent="0.3">
      <c r="A52" s="64" t="s">
        <v>1400</v>
      </c>
      <c r="B52" s="64">
        <v>12460</v>
      </c>
      <c r="C52" s="65">
        <f>B52*1.5</f>
        <v>18690</v>
      </c>
      <c r="D52" s="64">
        <v>18900</v>
      </c>
      <c r="E52" s="64"/>
    </row>
    <row r="53" spans="1:5" x14ac:dyDescent="0.3">
      <c r="A53" s="6" t="s">
        <v>54</v>
      </c>
      <c r="B53" s="6">
        <v>1580</v>
      </c>
      <c r="C53" s="7">
        <f>B53*1.5</f>
        <v>2370</v>
      </c>
      <c r="D53" s="6">
        <v>2400</v>
      </c>
      <c r="E53" s="6"/>
    </row>
    <row r="54" spans="1:5" x14ac:dyDescent="0.3">
      <c r="A54" s="6" t="s">
        <v>1012</v>
      </c>
      <c r="B54" s="6">
        <v>9000</v>
      </c>
      <c r="C54" s="7">
        <f>B54*1.6</f>
        <v>14400</v>
      </c>
      <c r="D54" s="6">
        <v>14400</v>
      </c>
    </row>
    <row r="55" spans="1:5" x14ac:dyDescent="0.3">
      <c r="A55" s="6" t="s">
        <v>911</v>
      </c>
      <c r="B55" s="6">
        <v>13000</v>
      </c>
      <c r="C55" s="7">
        <f>B55*1.5</f>
        <v>19500</v>
      </c>
      <c r="D55" s="17">
        <v>19500</v>
      </c>
      <c r="E55" s="6"/>
    </row>
    <row r="56" spans="1:5" x14ac:dyDescent="0.3">
      <c r="A56" s="6" t="s">
        <v>1246</v>
      </c>
      <c r="B56" s="6">
        <v>5100</v>
      </c>
      <c r="C56" s="7">
        <f>B56*1.5</f>
        <v>7650</v>
      </c>
      <c r="D56" s="6">
        <v>7700</v>
      </c>
      <c r="E56" s="6"/>
    </row>
    <row r="57" spans="1:5" x14ac:dyDescent="0.3">
      <c r="A57" s="6" t="s">
        <v>558</v>
      </c>
      <c r="B57" s="6">
        <v>3100</v>
      </c>
      <c r="C57" s="7">
        <f>B57*1.5</f>
        <v>4650</v>
      </c>
      <c r="D57" s="6">
        <v>4700</v>
      </c>
      <c r="E57" s="6"/>
    </row>
    <row r="58" spans="1:5" x14ac:dyDescent="0.3">
      <c r="A58" s="54" t="s">
        <v>1390</v>
      </c>
      <c r="B58" s="54">
        <v>1300</v>
      </c>
      <c r="C58" s="55">
        <f>B58*1.7</f>
        <v>2210</v>
      </c>
      <c r="D58" s="54">
        <v>2200</v>
      </c>
      <c r="E58" s="54"/>
    </row>
    <row r="59" spans="1:5" x14ac:dyDescent="0.3">
      <c r="A59" s="54" t="s">
        <v>1391</v>
      </c>
      <c r="B59" s="54">
        <v>1390</v>
      </c>
      <c r="C59" s="55">
        <f>B59*1.7</f>
        <v>2363</v>
      </c>
      <c r="D59" s="54">
        <v>2400</v>
      </c>
      <c r="E59" s="181"/>
    </row>
    <row r="60" spans="1:5" x14ac:dyDescent="0.3">
      <c r="A60" s="6" t="s">
        <v>1244</v>
      </c>
      <c r="B60" s="6">
        <v>2700</v>
      </c>
      <c r="C60" s="7">
        <f>B60*1.7</f>
        <v>4590</v>
      </c>
      <c r="D60" s="6">
        <v>4600</v>
      </c>
      <c r="E60" s="6"/>
    </row>
    <row r="61" spans="1:5" x14ac:dyDescent="0.3">
      <c r="A61" s="6" t="s">
        <v>853</v>
      </c>
      <c r="B61" s="6">
        <v>1850</v>
      </c>
      <c r="C61" s="7">
        <f>B61*1.6</f>
        <v>2960</v>
      </c>
      <c r="D61" s="6">
        <v>2900</v>
      </c>
      <c r="E61" s="6">
        <v>18000</v>
      </c>
    </row>
    <row r="62" spans="1:5" x14ac:dyDescent="0.3">
      <c r="A62" s="6" t="s">
        <v>852</v>
      </c>
      <c r="B62" s="6">
        <v>3600</v>
      </c>
      <c r="C62" s="7">
        <f>B62*1.5</f>
        <v>5400</v>
      </c>
      <c r="D62" s="6">
        <v>5400</v>
      </c>
      <c r="E62" s="6"/>
    </row>
    <row r="63" spans="1:5" x14ac:dyDescent="0.3">
      <c r="A63" s="6" t="s">
        <v>876</v>
      </c>
      <c r="B63" s="6">
        <v>6000</v>
      </c>
      <c r="C63" s="7">
        <f>B63*1.4</f>
        <v>8400</v>
      </c>
      <c r="D63" s="6">
        <v>7900</v>
      </c>
      <c r="E63" s="6"/>
    </row>
    <row r="64" spans="1:5" x14ac:dyDescent="0.3">
      <c r="A64" s="6" t="s">
        <v>108</v>
      </c>
      <c r="B64" s="6">
        <v>3800</v>
      </c>
      <c r="C64" s="7">
        <f>B64*1.5</f>
        <v>5700</v>
      </c>
      <c r="D64" s="6">
        <v>5700</v>
      </c>
      <c r="E64" s="6"/>
    </row>
    <row r="65" spans="1:5" x14ac:dyDescent="0.3">
      <c r="A65" s="6" t="s">
        <v>111</v>
      </c>
      <c r="B65" s="6">
        <v>3760</v>
      </c>
      <c r="C65" s="7">
        <f>B65*1.5</f>
        <v>5640</v>
      </c>
      <c r="D65" s="6">
        <v>5600</v>
      </c>
      <c r="E65" s="6"/>
    </row>
    <row r="66" spans="1:5" x14ac:dyDescent="0.3">
      <c r="A66" s="90" t="s">
        <v>292</v>
      </c>
      <c r="B66" s="90">
        <v>400</v>
      </c>
      <c r="C66" s="7">
        <f t="shared" ref="C66:C71" si="0">B66*1.8</f>
        <v>720</v>
      </c>
      <c r="D66" s="90">
        <v>1000</v>
      </c>
      <c r="E66" s="90"/>
    </row>
    <row r="67" spans="1:5" x14ac:dyDescent="0.3">
      <c r="A67" s="6" t="s">
        <v>293</v>
      </c>
      <c r="B67" s="6">
        <v>350</v>
      </c>
      <c r="C67" s="7">
        <f t="shared" si="0"/>
        <v>630</v>
      </c>
      <c r="D67" s="6">
        <v>1000</v>
      </c>
      <c r="E67" s="6"/>
    </row>
    <row r="68" spans="1:5" x14ac:dyDescent="0.3">
      <c r="A68" s="90" t="s">
        <v>294</v>
      </c>
      <c r="B68" s="90">
        <v>400</v>
      </c>
      <c r="C68" s="7">
        <f t="shared" si="0"/>
        <v>720</v>
      </c>
      <c r="D68" s="90">
        <v>1000</v>
      </c>
      <c r="E68" s="90"/>
    </row>
    <row r="69" spans="1:5" x14ac:dyDescent="0.3">
      <c r="A69" s="6" t="s">
        <v>295</v>
      </c>
      <c r="B69" s="6">
        <v>350</v>
      </c>
      <c r="C69" s="7">
        <f t="shared" si="0"/>
        <v>630</v>
      </c>
      <c r="D69" s="6">
        <v>1000</v>
      </c>
      <c r="E69" s="6"/>
    </row>
    <row r="70" spans="1:5" x14ac:dyDescent="0.3">
      <c r="A70" s="90" t="s">
        <v>289</v>
      </c>
      <c r="B70" s="90">
        <v>400</v>
      </c>
      <c r="C70" s="7">
        <f t="shared" si="0"/>
        <v>720</v>
      </c>
      <c r="D70" s="90">
        <v>1000</v>
      </c>
      <c r="E70" s="90"/>
    </row>
    <row r="71" spans="1:5" x14ac:dyDescent="0.3">
      <c r="A71" s="92" t="s">
        <v>291</v>
      </c>
      <c r="B71" s="92">
        <v>350</v>
      </c>
      <c r="C71" s="7">
        <f t="shared" si="0"/>
        <v>630</v>
      </c>
      <c r="D71" s="92">
        <v>1000</v>
      </c>
      <c r="E71" s="92"/>
    </row>
    <row r="72" spans="1:5" x14ac:dyDescent="0.3">
      <c r="A72" s="6" t="s">
        <v>290</v>
      </c>
      <c r="B72" s="6">
        <v>400</v>
      </c>
      <c r="C72" s="7">
        <f>B72*1.4</f>
        <v>560</v>
      </c>
      <c r="D72" s="6">
        <v>1000</v>
      </c>
    </row>
    <row r="73" spans="1:5" x14ac:dyDescent="0.3">
      <c r="A73" s="90" t="s">
        <v>296</v>
      </c>
      <c r="B73" s="90">
        <v>350</v>
      </c>
      <c r="C73" s="7">
        <f>B73*1.8</f>
        <v>630</v>
      </c>
      <c r="D73" s="90">
        <v>1000</v>
      </c>
      <c r="E73" s="90"/>
    </row>
    <row r="74" spans="1:5" x14ac:dyDescent="0.3">
      <c r="A74" s="92" t="s">
        <v>297</v>
      </c>
      <c r="B74" s="92">
        <v>420</v>
      </c>
      <c r="C74" s="7">
        <f>B74*1.8</f>
        <v>756</v>
      </c>
      <c r="D74" s="92">
        <v>1000</v>
      </c>
      <c r="E74" s="92"/>
    </row>
    <row r="75" spans="1:5" x14ac:dyDescent="0.3">
      <c r="A75" s="90" t="s">
        <v>298</v>
      </c>
      <c r="B75" s="90">
        <v>350</v>
      </c>
      <c r="C75" s="7">
        <f>B75*1.8</f>
        <v>630</v>
      </c>
      <c r="D75" s="90">
        <v>1000</v>
      </c>
      <c r="E75" s="90"/>
    </row>
    <row r="76" spans="1:5" x14ac:dyDescent="0.3">
      <c r="A76" s="6" t="s">
        <v>1245</v>
      </c>
      <c r="B76" s="6">
        <v>11800</v>
      </c>
      <c r="C76" s="7">
        <f>B76*1.5</f>
        <v>17700</v>
      </c>
      <c r="D76" s="6">
        <v>17700</v>
      </c>
    </row>
    <row r="77" spans="1:5" x14ac:dyDescent="0.3">
      <c r="A77" s="6" t="s">
        <v>1379</v>
      </c>
      <c r="B77" s="6">
        <v>6800</v>
      </c>
      <c r="C77" s="7">
        <f>B77*1.6</f>
        <v>10880</v>
      </c>
      <c r="D77" s="6">
        <v>11000</v>
      </c>
    </row>
    <row r="78" spans="1:5" x14ac:dyDescent="0.3">
      <c r="A78" s="6" t="s">
        <v>1380</v>
      </c>
      <c r="B78" s="6">
        <v>8620</v>
      </c>
      <c r="C78" s="7">
        <f>B78*1.6</f>
        <v>13792</v>
      </c>
      <c r="D78" s="6">
        <v>14000</v>
      </c>
    </row>
    <row r="79" spans="1:5" x14ac:dyDescent="0.3">
      <c r="A79" s="6" t="s">
        <v>166</v>
      </c>
      <c r="B79" s="6">
        <v>2500</v>
      </c>
      <c r="C79" s="7">
        <f>B79*1.4</f>
        <v>3500</v>
      </c>
      <c r="D79" s="6">
        <v>3500</v>
      </c>
      <c r="E79" s="6"/>
    </row>
    <row r="80" spans="1:5" x14ac:dyDescent="0.3">
      <c r="A80" s="6" t="s">
        <v>168</v>
      </c>
      <c r="B80" s="6">
        <v>2500</v>
      </c>
      <c r="C80" s="7">
        <f>B80*1.5</f>
        <v>3750</v>
      </c>
      <c r="D80" s="6">
        <v>3500</v>
      </c>
      <c r="E80" s="6"/>
    </row>
    <row r="81" spans="1:5" x14ac:dyDescent="0.3">
      <c r="A81" s="6" t="s">
        <v>167</v>
      </c>
      <c r="B81" s="6">
        <v>2500</v>
      </c>
      <c r="C81" s="7">
        <f>B81*1.5</f>
        <v>3750</v>
      </c>
      <c r="D81" s="6">
        <v>3500</v>
      </c>
      <c r="E81" s="6"/>
    </row>
    <row r="82" spans="1:5" x14ac:dyDescent="0.3">
      <c r="A82" s="6" t="s">
        <v>164</v>
      </c>
      <c r="B82" s="6">
        <v>4000</v>
      </c>
      <c r="C82" s="7">
        <f>B82*1.4</f>
        <v>5600</v>
      </c>
      <c r="D82" s="6">
        <v>5600</v>
      </c>
      <c r="E82" s="6"/>
    </row>
    <row r="83" spans="1:5" x14ac:dyDescent="0.3">
      <c r="A83" s="6" t="s">
        <v>165</v>
      </c>
      <c r="B83" s="6">
        <v>3000</v>
      </c>
      <c r="C83" s="7">
        <f>B83*1.4</f>
        <v>4200</v>
      </c>
      <c r="D83" s="6">
        <v>4200</v>
      </c>
      <c r="E83" s="6"/>
    </row>
    <row r="84" spans="1:5" x14ac:dyDescent="0.3">
      <c r="A84" s="6" t="s">
        <v>1135</v>
      </c>
      <c r="B84" s="6">
        <v>1090</v>
      </c>
      <c r="C84" s="7">
        <f>B84*1.7</f>
        <v>1853</v>
      </c>
      <c r="D84" s="6">
        <v>1900</v>
      </c>
      <c r="E84" s="6"/>
    </row>
    <row r="85" spans="1:5" x14ac:dyDescent="0.3">
      <c r="A85" s="6" t="s">
        <v>1381</v>
      </c>
      <c r="B85" s="6">
        <v>9000</v>
      </c>
      <c r="C85" s="7">
        <f>B85*1.6</f>
        <v>14400</v>
      </c>
      <c r="D85" s="6">
        <v>14000</v>
      </c>
    </row>
    <row r="86" spans="1:5" x14ac:dyDescent="0.3">
      <c r="A86" s="6" t="s">
        <v>670</v>
      </c>
      <c r="B86" s="6">
        <v>3200</v>
      </c>
      <c r="C86" s="7">
        <f>B86*1.7</f>
        <v>5440</v>
      </c>
      <c r="D86" s="6">
        <v>5400</v>
      </c>
      <c r="E86" s="6"/>
    </row>
    <row r="87" spans="1:5" x14ac:dyDescent="0.3">
      <c r="A87" s="6" t="s">
        <v>640</v>
      </c>
      <c r="B87" s="6">
        <v>5370</v>
      </c>
      <c r="C87" s="7">
        <f>B87*1.5</f>
        <v>8055</v>
      </c>
      <c r="D87" s="6">
        <v>9200</v>
      </c>
      <c r="E87" s="6"/>
    </row>
    <row r="88" spans="1:5" x14ac:dyDescent="0.3">
      <c r="A88" s="6" t="s">
        <v>639</v>
      </c>
      <c r="B88" s="6">
        <v>5370</v>
      </c>
      <c r="C88" s="7">
        <f>B88*1.7</f>
        <v>9129</v>
      </c>
      <c r="D88" s="6">
        <v>9200</v>
      </c>
      <c r="E88" s="6"/>
    </row>
    <row r="89" spans="1:5" x14ac:dyDescent="0.3">
      <c r="A89" s="6" t="s">
        <v>1392</v>
      </c>
      <c r="B89" s="6">
        <v>9800</v>
      </c>
      <c r="C89" s="7">
        <f>B89*1.6</f>
        <v>15680</v>
      </c>
      <c r="D89" s="6">
        <v>15500</v>
      </c>
      <c r="E89" s="6"/>
    </row>
    <row r="90" spans="1:5" x14ac:dyDescent="0.3">
      <c r="A90" s="6" t="s">
        <v>984</v>
      </c>
      <c r="B90" s="6">
        <v>4850</v>
      </c>
      <c r="C90" s="7">
        <f>B90*1.7</f>
        <v>8245</v>
      </c>
      <c r="D90" s="6">
        <v>8200</v>
      </c>
      <c r="E90" s="6"/>
    </row>
    <row r="91" spans="1:5" x14ac:dyDescent="0.3">
      <c r="A91" s="6" t="s">
        <v>81</v>
      </c>
      <c r="B91" s="6">
        <v>2400</v>
      </c>
      <c r="C91" s="7">
        <f>B91*1.5</f>
        <v>3600</v>
      </c>
      <c r="D91" s="6">
        <v>3700</v>
      </c>
      <c r="E91" s="6"/>
    </row>
    <row r="92" spans="1:5" x14ac:dyDescent="0.3">
      <c r="A92" s="6" t="s">
        <v>151</v>
      </c>
      <c r="B92" s="6">
        <v>1000</v>
      </c>
      <c r="C92" s="7">
        <f>B92*1.5</f>
        <v>1500</v>
      </c>
      <c r="D92" s="6">
        <v>1600</v>
      </c>
      <c r="E92" s="6"/>
    </row>
    <row r="93" spans="1:5" x14ac:dyDescent="0.3">
      <c r="A93" s="6" t="s">
        <v>1397</v>
      </c>
      <c r="B93" s="6">
        <v>6950</v>
      </c>
      <c r="C93" s="7">
        <f>B93*1.6</f>
        <v>11120</v>
      </c>
      <c r="D93" s="6">
        <v>11200</v>
      </c>
    </row>
    <row r="94" spans="1:5" x14ac:dyDescent="0.3">
      <c r="A94" s="6" t="s">
        <v>1396</v>
      </c>
      <c r="B94" s="6">
        <v>12400</v>
      </c>
      <c r="C94" s="7">
        <f>B94*1.5</f>
        <v>18600</v>
      </c>
      <c r="D94" s="6">
        <v>18600</v>
      </c>
    </row>
    <row r="95" spans="1:5" x14ac:dyDescent="0.3">
      <c r="A95" s="6" t="s">
        <v>1006</v>
      </c>
      <c r="B95" s="6">
        <v>3450</v>
      </c>
      <c r="C95" s="7">
        <f>B95*1.6</f>
        <v>5520</v>
      </c>
      <c r="D95" s="6">
        <v>5500</v>
      </c>
      <c r="E95" s="6"/>
    </row>
    <row r="96" spans="1:5" x14ac:dyDescent="0.3">
      <c r="A96" s="6" t="s">
        <v>373</v>
      </c>
      <c r="B96" s="6">
        <v>355</v>
      </c>
      <c r="C96" s="7">
        <f>B96*1.6</f>
        <v>568</v>
      </c>
      <c r="D96" s="6">
        <v>600</v>
      </c>
      <c r="E96" s="6"/>
    </row>
    <row r="97" spans="3:3" x14ac:dyDescent="0.3">
      <c r="C97" s="7">
        <f>B97*1.6</f>
        <v>0</v>
      </c>
    </row>
    <row r="98" spans="3:3" x14ac:dyDescent="0.3">
      <c r="C98" s="7">
        <f>B98*1.6</f>
        <v>0</v>
      </c>
    </row>
    <row r="99" spans="3:3" x14ac:dyDescent="0.3">
      <c r="C99" s="7">
        <f>B99*1.6</f>
        <v>0</v>
      </c>
    </row>
    <row r="128" spans="3:5" x14ac:dyDescent="0.3">
      <c r="C128" s="7"/>
      <c r="E128" s="6"/>
    </row>
    <row r="129" spans="3:5" x14ac:dyDescent="0.3">
      <c r="C129" s="7"/>
      <c r="E129" s="6"/>
    </row>
    <row r="130" spans="3:5" x14ac:dyDescent="0.3">
      <c r="C130" s="7"/>
      <c r="E130" s="6"/>
    </row>
    <row r="131" spans="3:5" x14ac:dyDescent="0.3">
      <c r="C131" s="7"/>
      <c r="E131" s="6"/>
    </row>
    <row r="132" spans="3:5" x14ac:dyDescent="0.3">
      <c r="C132" s="7"/>
      <c r="E132" s="6"/>
    </row>
    <row r="133" spans="3:5" x14ac:dyDescent="0.3">
      <c r="C133" s="7"/>
      <c r="E133" s="6"/>
    </row>
    <row r="134" spans="3:5" x14ac:dyDescent="0.3">
      <c r="C134" s="7"/>
      <c r="E134" s="6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>
    <tabColor theme="9" tint="0.59999389629810485"/>
  </sheetPr>
  <dimension ref="A1:E79"/>
  <sheetViews>
    <sheetView workbookViewId="0">
      <selection activeCell="A2" sqref="A2:A78 D2:D78"/>
    </sheetView>
  </sheetViews>
  <sheetFormatPr baseColWidth="10" defaultColWidth="9.109375" defaultRowHeight="14.4" x14ac:dyDescent="0.3"/>
  <cols>
    <col min="1" max="1" width="65.88671875" style="6" customWidth="1"/>
    <col min="2" max="2" width="17.88671875" style="7" bestFit="1" customWidth="1"/>
    <col min="3" max="3" width="23.33203125" style="7" bestFit="1" customWidth="1"/>
    <col min="4" max="4" width="19" style="7" bestFit="1" customWidth="1"/>
  </cols>
  <sheetData>
    <row r="1" spans="1:5" x14ac:dyDescent="0.3">
      <c r="A1" s="10" t="s">
        <v>0</v>
      </c>
      <c r="B1" s="11" t="s">
        <v>7</v>
      </c>
      <c r="C1" s="11" t="s">
        <v>1</v>
      </c>
      <c r="D1" s="11" t="s">
        <v>2</v>
      </c>
      <c r="E1" s="147" t="s">
        <v>29</v>
      </c>
    </row>
    <row r="2" spans="1:5" x14ac:dyDescent="0.3">
      <c r="A2" s="71" t="s">
        <v>200</v>
      </c>
      <c r="B2" s="72">
        <v>1750</v>
      </c>
      <c r="C2" s="72">
        <f>B2*1.6</f>
        <v>2800</v>
      </c>
      <c r="D2" s="72">
        <v>3000</v>
      </c>
      <c r="E2" s="6"/>
    </row>
    <row r="3" spans="1:5" x14ac:dyDescent="0.3">
      <c r="A3" s="71" t="s">
        <v>201</v>
      </c>
      <c r="B3" s="72">
        <v>2030</v>
      </c>
      <c r="C3" s="72">
        <f>B3*1.5</f>
        <v>3045</v>
      </c>
      <c r="D3" s="72">
        <v>3000</v>
      </c>
      <c r="E3" s="6"/>
    </row>
    <row r="4" spans="1:5" x14ac:dyDescent="0.3">
      <c r="A4" s="71" t="s">
        <v>202</v>
      </c>
      <c r="B4" s="72">
        <v>1848</v>
      </c>
      <c r="C4" s="72">
        <f t="shared" ref="C4:C11" si="0">B4*1.6</f>
        <v>2956.8</v>
      </c>
      <c r="D4" s="72">
        <v>3000</v>
      </c>
      <c r="E4" s="6"/>
    </row>
    <row r="5" spans="1:5" x14ac:dyDescent="0.3">
      <c r="A5" s="6" t="s">
        <v>1008</v>
      </c>
      <c r="B5" s="7">
        <v>2370</v>
      </c>
      <c r="C5" s="7">
        <f t="shared" si="0"/>
        <v>3792</v>
      </c>
      <c r="D5" s="7">
        <v>3800</v>
      </c>
      <c r="E5" s="6"/>
    </row>
    <row r="6" spans="1:5" x14ac:dyDescent="0.3">
      <c r="A6" s="6" t="s">
        <v>188</v>
      </c>
      <c r="B6" s="7">
        <v>53</v>
      </c>
      <c r="C6" s="7">
        <f t="shared" si="0"/>
        <v>84.800000000000011</v>
      </c>
      <c r="D6" s="7">
        <v>85</v>
      </c>
      <c r="E6" s="6" t="s">
        <v>189</v>
      </c>
    </row>
    <row r="7" spans="1:5" x14ac:dyDescent="0.3">
      <c r="A7" s="6" t="s">
        <v>370</v>
      </c>
      <c r="B7" s="7">
        <v>2000</v>
      </c>
      <c r="C7" s="7">
        <f t="shared" si="0"/>
        <v>3200</v>
      </c>
      <c r="D7" s="7">
        <v>3200</v>
      </c>
      <c r="E7" s="6"/>
    </row>
    <row r="8" spans="1:5" x14ac:dyDescent="0.3">
      <c r="A8" s="6" t="s">
        <v>1413</v>
      </c>
      <c r="B8" s="7">
        <v>4100</v>
      </c>
      <c r="C8" s="7">
        <f t="shared" si="0"/>
        <v>6560</v>
      </c>
      <c r="D8" s="7">
        <v>6500</v>
      </c>
      <c r="E8" s="6"/>
    </row>
    <row r="9" spans="1:5" x14ac:dyDescent="0.3">
      <c r="A9" s="6" t="s">
        <v>1414</v>
      </c>
      <c r="B9" s="7">
        <v>4300</v>
      </c>
      <c r="C9" s="7">
        <f t="shared" si="0"/>
        <v>6880</v>
      </c>
      <c r="D9" s="7">
        <v>6900</v>
      </c>
      <c r="E9" s="6"/>
    </row>
    <row r="10" spans="1:5" x14ac:dyDescent="0.3">
      <c r="A10" s="54" t="s">
        <v>643</v>
      </c>
      <c r="B10" s="55">
        <v>4675</v>
      </c>
      <c r="C10" s="55">
        <f t="shared" si="0"/>
        <v>7480</v>
      </c>
      <c r="D10" s="55">
        <v>7500</v>
      </c>
      <c r="E10" s="6"/>
    </row>
    <row r="11" spans="1:5" x14ac:dyDescent="0.3">
      <c r="A11" s="6" t="s">
        <v>642</v>
      </c>
      <c r="B11" s="7">
        <v>3300</v>
      </c>
      <c r="C11" s="7">
        <f t="shared" si="0"/>
        <v>5280</v>
      </c>
      <c r="D11" s="7">
        <v>5200</v>
      </c>
      <c r="E11" s="6"/>
    </row>
    <row r="12" spans="1:5" x14ac:dyDescent="0.3">
      <c r="A12" s="6" t="s">
        <v>1050</v>
      </c>
      <c r="B12" s="7">
        <v>2900</v>
      </c>
      <c r="C12" s="7">
        <f>B12*1.5</f>
        <v>4350</v>
      </c>
      <c r="D12" s="7">
        <v>4200</v>
      </c>
      <c r="E12" s="6"/>
    </row>
    <row r="13" spans="1:5" x14ac:dyDescent="0.3">
      <c r="A13" s="6" t="s">
        <v>932</v>
      </c>
      <c r="B13" s="7">
        <v>5000</v>
      </c>
      <c r="C13" s="7">
        <f>B13*1.4</f>
        <v>7000</v>
      </c>
      <c r="D13" s="7">
        <v>7000</v>
      </c>
      <c r="E13" s="6"/>
    </row>
    <row r="14" spans="1:5" x14ac:dyDescent="0.3">
      <c r="A14" s="6" t="s">
        <v>995</v>
      </c>
      <c r="B14" s="7">
        <v>4750</v>
      </c>
      <c r="C14" s="7">
        <f>B14*1.6</f>
        <v>7600</v>
      </c>
      <c r="D14" s="7">
        <v>7500</v>
      </c>
      <c r="E14" s="6"/>
    </row>
    <row r="15" spans="1:5" x14ac:dyDescent="0.3">
      <c r="A15" s="6" t="s">
        <v>337</v>
      </c>
      <c r="B15" s="7">
        <v>3575</v>
      </c>
      <c r="C15" s="7">
        <f>B15*1.9</f>
        <v>6792.5</v>
      </c>
      <c r="D15" s="7">
        <v>8300</v>
      </c>
      <c r="E15" s="6"/>
    </row>
    <row r="16" spans="1:5" x14ac:dyDescent="0.3">
      <c r="A16" s="6" t="s">
        <v>1412</v>
      </c>
      <c r="B16" s="7">
        <v>6500</v>
      </c>
      <c r="C16" s="7">
        <f>B16*1.5</f>
        <v>9750</v>
      </c>
      <c r="D16" s="7">
        <v>9800</v>
      </c>
      <c r="E16" s="6"/>
    </row>
    <row r="17" spans="1:5" x14ac:dyDescent="0.3">
      <c r="A17" s="6" t="s">
        <v>1243</v>
      </c>
      <c r="B17" s="7">
        <v>6650</v>
      </c>
      <c r="C17" s="7">
        <f>B17*1.5</f>
        <v>9975</v>
      </c>
      <c r="D17" s="7">
        <v>9900</v>
      </c>
      <c r="E17" s="6"/>
    </row>
    <row r="18" spans="1:5" x14ac:dyDescent="0.3">
      <c r="A18" s="34" t="s">
        <v>1347</v>
      </c>
      <c r="B18" s="35">
        <v>3950</v>
      </c>
      <c r="C18" s="35">
        <f>B18*1.5</f>
        <v>5925</v>
      </c>
      <c r="D18" s="35">
        <v>5600</v>
      </c>
      <c r="E18" s="6"/>
    </row>
    <row r="19" spans="1:5" x14ac:dyDescent="0.3">
      <c r="A19" s="6" t="s">
        <v>1419</v>
      </c>
      <c r="B19" s="7">
        <v>4000</v>
      </c>
      <c r="C19" s="7">
        <f>B19*1.6</f>
        <v>6400</v>
      </c>
      <c r="D19" s="7">
        <v>6400</v>
      </c>
      <c r="E19" s="6"/>
    </row>
    <row r="20" spans="1:5" x14ac:dyDescent="0.3">
      <c r="A20" s="6" t="s">
        <v>708</v>
      </c>
      <c r="B20" s="7">
        <v>4430</v>
      </c>
      <c r="C20" s="7">
        <f>B20*1.6</f>
        <v>7088</v>
      </c>
      <c r="D20" s="7">
        <v>6900</v>
      </c>
      <c r="E20" s="6"/>
    </row>
    <row r="21" spans="1:5" x14ac:dyDescent="0.3">
      <c r="A21" s="6" t="s">
        <v>1411</v>
      </c>
      <c r="B21" s="7">
        <v>4000</v>
      </c>
      <c r="C21" s="7">
        <f>B21*1.6</f>
        <v>6400</v>
      </c>
      <c r="D21" s="7">
        <v>6400</v>
      </c>
      <c r="E21" s="6"/>
    </row>
    <row r="22" spans="1:5" x14ac:dyDescent="0.3">
      <c r="A22" s="6" t="s">
        <v>285</v>
      </c>
      <c r="B22" s="7">
        <v>3570</v>
      </c>
      <c r="C22" s="7">
        <f>B22*1.4</f>
        <v>4998</v>
      </c>
      <c r="D22" s="7">
        <v>4800</v>
      </c>
      <c r="E22" s="6"/>
    </row>
    <row r="23" spans="1:5" x14ac:dyDescent="0.3">
      <c r="A23" s="6" t="s">
        <v>286</v>
      </c>
      <c r="B23" s="7">
        <v>2960</v>
      </c>
      <c r="C23" s="7">
        <f>B23*1.4</f>
        <v>4144</v>
      </c>
      <c r="D23" s="7">
        <v>4200</v>
      </c>
      <c r="E23" s="6"/>
    </row>
    <row r="24" spans="1:5" x14ac:dyDescent="0.3">
      <c r="A24" s="68" t="s">
        <v>235</v>
      </c>
      <c r="B24" s="69">
        <v>2825</v>
      </c>
      <c r="C24" s="69">
        <f>B24*1.7</f>
        <v>4802.5</v>
      </c>
      <c r="D24" s="69">
        <v>4900</v>
      </c>
      <c r="E24" s="6"/>
    </row>
    <row r="25" spans="1:5" x14ac:dyDescent="0.3">
      <c r="A25" s="68" t="s">
        <v>155</v>
      </c>
      <c r="B25" s="69">
        <v>2374</v>
      </c>
      <c r="C25" s="69">
        <f>B25*1.5</f>
        <v>3561</v>
      </c>
      <c r="D25" s="69">
        <v>3900</v>
      </c>
      <c r="E25" s="6"/>
    </row>
    <row r="26" spans="1:5" x14ac:dyDescent="0.3">
      <c r="A26" s="68" t="s">
        <v>262</v>
      </c>
      <c r="B26" s="69">
        <v>3500</v>
      </c>
      <c r="C26" s="69">
        <f>B26*1.5</f>
        <v>5250</v>
      </c>
      <c r="D26" s="69">
        <v>5300</v>
      </c>
      <c r="E26" s="6"/>
    </row>
    <row r="27" spans="1:5" x14ac:dyDescent="0.3">
      <c r="A27" s="6" t="s">
        <v>996</v>
      </c>
      <c r="B27" s="7">
        <v>4750</v>
      </c>
      <c r="C27" s="7">
        <f>B27*1.5</f>
        <v>7125</v>
      </c>
      <c r="D27" s="7">
        <v>7500</v>
      </c>
      <c r="E27" s="6"/>
    </row>
    <row r="28" spans="1:5" x14ac:dyDescent="0.3">
      <c r="A28" s="6" t="s">
        <v>1410</v>
      </c>
      <c r="B28" s="7">
        <v>4630</v>
      </c>
      <c r="C28" s="7">
        <f>B28*1.6</f>
        <v>7408</v>
      </c>
      <c r="D28" s="7">
        <v>7500</v>
      </c>
      <c r="E28" s="6"/>
    </row>
    <row r="29" spans="1:5" x14ac:dyDescent="0.3">
      <c r="A29" s="6" t="s">
        <v>1348</v>
      </c>
      <c r="B29" s="7">
        <v>3650</v>
      </c>
      <c r="C29" s="7">
        <f>B29*1.5</f>
        <v>5475</v>
      </c>
      <c r="D29" s="7">
        <v>5500</v>
      </c>
      <c r="E29" s="6"/>
    </row>
    <row r="30" spans="1:5" x14ac:dyDescent="0.3">
      <c r="A30" s="71" t="s">
        <v>1015</v>
      </c>
      <c r="B30" s="72">
        <v>5130</v>
      </c>
      <c r="C30" s="72">
        <f>B30*1.5</f>
        <v>7695</v>
      </c>
      <c r="D30" s="72">
        <v>7500</v>
      </c>
      <c r="E30" s="6"/>
    </row>
    <row r="31" spans="1:5" x14ac:dyDescent="0.3">
      <c r="A31" s="34" t="s">
        <v>1118</v>
      </c>
      <c r="B31" s="35">
        <v>3570</v>
      </c>
      <c r="C31" s="35">
        <f>B31*1.6</f>
        <v>5712</v>
      </c>
      <c r="D31" s="35">
        <v>5700</v>
      </c>
      <c r="E31" s="34"/>
    </row>
    <row r="32" spans="1:5" x14ac:dyDescent="0.3">
      <c r="A32" s="66" t="s">
        <v>1149</v>
      </c>
      <c r="B32" s="67">
        <v>2000</v>
      </c>
      <c r="C32" s="67">
        <f>B32*1.7</f>
        <v>3400</v>
      </c>
      <c r="D32" s="67">
        <v>3400</v>
      </c>
      <c r="E32" s="66"/>
    </row>
    <row r="33" spans="1:5" x14ac:dyDescent="0.3">
      <c r="A33" s="34" t="s">
        <v>1152</v>
      </c>
      <c r="B33" s="35">
        <v>2400</v>
      </c>
      <c r="C33" s="35">
        <f>B33*1.6</f>
        <v>3840</v>
      </c>
      <c r="D33" s="35">
        <v>3900</v>
      </c>
      <c r="E33" s="34"/>
    </row>
    <row r="34" spans="1:5" x14ac:dyDescent="0.3">
      <c r="A34" s="66" t="s">
        <v>1117</v>
      </c>
      <c r="B34" s="67">
        <v>2470</v>
      </c>
      <c r="C34" s="67">
        <f>B34*1.7</f>
        <v>4199</v>
      </c>
      <c r="D34" s="67">
        <v>4200</v>
      </c>
      <c r="E34" s="66"/>
    </row>
    <row r="35" spans="1:5" x14ac:dyDescent="0.3">
      <c r="A35" s="34" t="s">
        <v>1153</v>
      </c>
      <c r="B35" s="35">
        <v>2800</v>
      </c>
      <c r="C35" s="35">
        <f>B35*1.6</f>
        <v>4480</v>
      </c>
      <c r="D35" s="35">
        <v>4500</v>
      </c>
      <c r="E35" s="34"/>
    </row>
    <row r="36" spans="1:5" x14ac:dyDescent="0.3">
      <c r="A36" s="66" t="s">
        <v>1151</v>
      </c>
      <c r="B36" s="67">
        <v>2000</v>
      </c>
      <c r="C36" s="67">
        <f>B36*1.6</f>
        <v>3200</v>
      </c>
      <c r="D36" s="67">
        <v>3400</v>
      </c>
      <c r="E36" s="66"/>
    </row>
    <row r="37" spans="1:5" x14ac:dyDescent="0.3">
      <c r="A37" s="34" t="s">
        <v>1148</v>
      </c>
      <c r="B37" s="35">
        <v>2050</v>
      </c>
      <c r="C37" s="35">
        <f>B37*1.7</f>
        <v>3485</v>
      </c>
      <c r="D37" s="35">
        <v>3500</v>
      </c>
      <c r="E37" s="34"/>
    </row>
    <row r="38" spans="1:5" x14ac:dyDescent="0.3">
      <c r="A38" s="66" t="s">
        <v>1150</v>
      </c>
      <c r="B38" s="67">
        <v>2000</v>
      </c>
      <c r="C38" s="67">
        <f>B38*1.7</f>
        <v>3400</v>
      </c>
      <c r="D38" s="67">
        <v>3400</v>
      </c>
      <c r="E38" s="66"/>
    </row>
    <row r="39" spans="1:5" x14ac:dyDescent="0.3">
      <c r="A39" s="52" t="s">
        <v>935</v>
      </c>
      <c r="B39" s="53">
        <v>2000</v>
      </c>
      <c r="C39" s="35">
        <f>B39*1.4</f>
        <v>2800</v>
      </c>
      <c r="D39" s="53">
        <v>2800</v>
      </c>
      <c r="E39" s="52"/>
    </row>
    <row r="40" spans="1:5" x14ac:dyDescent="0.3">
      <c r="A40" s="124" t="s">
        <v>934</v>
      </c>
      <c r="B40" s="125">
        <v>5000</v>
      </c>
      <c r="C40" s="125">
        <f>B40*1.4</f>
        <v>7000</v>
      </c>
      <c r="D40" s="125">
        <v>7000</v>
      </c>
      <c r="E40" s="124"/>
    </row>
    <row r="41" spans="1:5" x14ac:dyDescent="0.3">
      <c r="A41" s="52" t="s">
        <v>933</v>
      </c>
      <c r="B41" s="53">
        <v>3000</v>
      </c>
      <c r="C41" s="53">
        <f>B41*1.4</f>
        <v>4200</v>
      </c>
      <c r="D41" s="53">
        <v>4200</v>
      </c>
      <c r="E41" s="52"/>
    </row>
    <row r="42" spans="1:5" x14ac:dyDescent="0.3">
      <c r="A42" s="21" t="s">
        <v>834</v>
      </c>
      <c r="B42" s="22">
        <v>1400</v>
      </c>
      <c r="C42" s="22">
        <f>B42*1.7</f>
        <v>2380</v>
      </c>
      <c r="D42" s="22">
        <v>2400</v>
      </c>
      <c r="E42" s="6"/>
    </row>
    <row r="43" spans="1:5" x14ac:dyDescent="0.3">
      <c r="A43" s="6" t="s">
        <v>1040</v>
      </c>
      <c r="B43" s="7">
        <v>1500</v>
      </c>
      <c r="C43" s="7">
        <f>B43*1.8</f>
        <v>2700</v>
      </c>
      <c r="D43" s="7">
        <v>2800</v>
      </c>
      <c r="E43" s="6"/>
    </row>
    <row r="44" spans="1:5" x14ac:dyDescent="0.3">
      <c r="A44" s="6" t="s">
        <v>1039</v>
      </c>
      <c r="B44" s="7">
        <v>2500</v>
      </c>
      <c r="C44" s="7">
        <f>B44*1.5</f>
        <v>3750</v>
      </c>
      <c r="D44" s="7">
        <v>15000</v>
      </c>
      <c r="E44" s="6"/>
    </row>
    <row r="45" spans="1:5" x14ac:dyDescent="0.3">
      <c r="A45" s="6" t="s">
        <v>593</v>
      </c>
      <c r="B45" s="7">
        <v>2750</v>
      </c>
      <c r="C45" s="7">
        <f>B45*1.6</f>
        <v>4400</v>
      </c>
      <c r="D45" s="7">
        <v>4400</v>
      </c>
      <c r="E45" s="6"/>
    </row>
    <row r="46" spans="1:5" x14ac:dyDescent="0.3">
      <c r="A46" s="66" t="s">
        <v>191</v>
      </c>
      <c r="B46" s="67">
        <v>2200</v>
      </c>
      <c r="C46" s="67">
        <f>B46*1.5</f>
        <v>3300</v>
      </c>
      <c r="D46" s="67">
        <v>3700</v>
      </c>
      <c r="E46" s="6"/>
    </row>
    <row r="47" spans="1:5" x14ac:dyDescent="0.3">
      <c r="A47" s="71" t="s">
        <v>1284</v>
      </c>
      <c r="B47" s="72">
        <v>1700</v>
      </c>
      <c r="C47" s="72">
        <f>B47*1.6</f>
        <v>2720</v>
      </c>
      <c r="D47" s="72">
        <v>2700</v>
      </c>
      <c r="E47" s="71"/>
    </row>
    <row r="48" spans="1:5" x14ac:dyDescent="0.3">
      <c r="A48" s="54" t="s">
        <v>1285</v>
      </c>
      <c r="B48" s="55">
        <v>2400</v>
      </c>
      <c r="C48" s="55">
        <f>B48*1.6</f>
        <v>3840</v>
      </c>
      <c r="D48" s="55">
        <v>3800</v>
      </c>
      <c r="E48" s="54"/>
    </row>
    <row r="49" spans="1:5" x14ac:dyDescent="0.3">
      <c r="A49" s="71" t="s">
        <v>1283</v>
      </c>
      <c r="B49" s="72">
        <v>1500</v>
      </c>
      <c r="C49" s="72">
        <f>B49*1.6</f>
        <v>2400</v>
      </c>
      <c r="D49" s="72">
        <v>2400</v>
      </c>
      <c r="E49" s="71"/>
    </row>
    <row r="50" spans="1:5" x14ac:dyDescent="0.3">
      <c r="A50" s="6" t="s">
        <v>997</v>
      </c>
      <c r="B50" s="7">
        <v>4750</v>
      </c>
      <c r="C50" s="7">
        <f>B50*1.5</f>
        <v>7125</v>
      </c>
      <c r="D50" s="7">
        <v>7500</v>
      </c>
      <c r="E50" s="6"/>
    </row>
    <row r="51" spans="1:5" x14ac:dyDescent="0.3">
      <c r="A51" s="6" t="s">
        <v>278</v>
      </c>
      <c r="B51" s="7">
        <v>3300</v>
      </c>
      <c r="C51" s="7">
        <f>B51*1.5</f>
        <v>4950</v>
      </c>
      <c r="D51" s="7">
        <v>4200</v>
      </c>
      <c r="E51" s="6"/>
    </row>
    <row r="52" spans="1:5" x14ac:dyDescent="0.3">
      <c r="A52" s="71" t="s">
        <v>851</v>
      </c>
      <c r="B52" s="72">
        <v>2000</v>
      </c>
      <c r="C52" s="72">
        <f>B52*1.6</f>
        <v>3200</v>
      </c>
      <c r="D52" s="72">
        <v>3200</v>
      </c>
      <c r="E52" s="6"/>
    </row>
    <row r="53" spans="1:5" x14ac:dyDescent="0.3">
      <c r="A53" s="6" t="s">
        <v>275</v>
      </c>
      <c r="B53" s="7">
        <v>2250</v>
      </c>
      <c r="C53" s="7">
        <f>B53*1.5</f>
        <v>3375</v>
      </c>
      <c r="D53" s="7">
        <v>3500</v>
      </c>
      <c r="E53" s="6"/>
    </row>
    <row r="54" spans="1:5" x14ac:dyDescent="0.3">
      <c r="A54" s="6" t="s">
        <v>850</v>
      </c>
      <c r="B54" s="7">
        <v>2200</v>
      </c>
      <c r="C54" s="7">
        <f>B54*1.6</f>
        <v>3520</v>
      </c>
      <c r="D54" s="7">
        <v>3500</v>
      </c>
      <c r="E54" s="6"/>
    </row>
    <row r="55" spans="1:5" x14ac:dyDescent="0.3">
      <c r="A55" s="6" t="s">
        <v>276</v>
      </c>
      <c r="B55" s="7">
        <v>2250</v>
      </c>
      <c r="C55" s="7">
        <f>B55*1.6</f>
        <v>3600</v>
      </c>
      <c r="D55" s="7">
        <v>3500</v>
      </c>
      <c r="E55" s="6"/>
    </row>
    <row r="56" spans="1:5" x14ac:dyDescent="0.3">
      <c r="A56" s="6" t="s">
        <v>277</v>
      </c>
      <c r="B56" s="7">
        <v>1800</v>
      </c>
      <c r="C56" s="7">
        <f>B56*1.7</f>
        <v>3060</v>
      </c>
      <c r="D56" s="7">
        <v>2900</v>
      </c>
      <c r="E56" s="6"/>
    </row>
    <row r="57" spans="1:5" x14ac:dyDescent="0.3">
      <c r="A57" s="6" t="s">
        <v>274</v>
      </c>
      <c r="B57" s="7">
        <v>2550</v>
      </c>
      <c r="C57" s="7">
        <f>B57*1.5</f>
        <v>3825</v>
      </c>
      <c r="D57" s="7">
        <v>3800</v>
      </c>
      <c r="E57" s="6"/>
    </row>
    <row r="58" spans="1:5" x14ac:dyDescent="0.3">
      <c r="A58" s="21" t="s">
        <v>158</v>
      </c>
      <c r="B58" s="22">
        <v>2200</v>
      </c>
      <c r="C58" s="22">
        <f>B58*1.6</f>
        <v>3520</v>
      </c>
      <c r="D58" s="22">
        <v>3500</v>
      </c>
      <c r="E58" s="6"/>
    </row>
    <row r="59" spans="1:5" x14ac:dyDescent="0.3">
      <c r="A59" s="6" t="s">
        <v>936</v>
      </c>
      <c r="B59" s="7">
        <v>6000</v>
      </c>
      <c r="C59" s="7">
        <f t="shared" ref="C59:C79" si="1">B59*1.5</f>
        <v>9000</v>
      </c>
      <c r="D59" s="7">
        <v>7500</v>
      </c>
      <c r="E59" s="6"/>
    </row>
    <row r="60" spans="1:5" x14ac:dyDescent="0.3">
      <c r="A60" s="6" t="s">
        <v>1424</v>
      </c>
      <c r="B60" s="7">
        <v>5550</v>
      </c>
      <c r="C60" s="7">
        <f t="shared" si="1"/>
        <v>8325</v>
      </c>
      <c r="D60" s="7">
        <v>8500</v>
      </c>
      <c r="E60" s="6"/>
    </row>
    <row r="61" spans="1:5" x14ac:dyDescent="0.3">
      <c r="C61" s="7">
        <f t="shared" si="1"/>
        <v>0</v>
      </c>
      <c r="E61" s="6"/>
    </row>
    <row r="62" spans="1:5" x14ac:dyDescent="0.3">
      <c r="C62" s="7">
        <f t="shared" si="1"/>
        <v>0</v>
      </c>
      <c r="E62" s="6"/>
    </row>
    <row r="63" spans="1:5" x14ac:dyDescent="0.3">
      <c r="C63" s="7">
        <f t="shared" si="1"/>
        <v>0</v>
      </c>
      <c r="E63" s="6"/>
    </row>
    <row r="64" spans="1:5" x14ac:dyDescent="0.3">
      <c r="C64" s="7">
        <f t="shared" si="1"/>
        <v>0</v>
      </c>
      <c r="E64" s="6"/>
    </row>
    <row r="65" spans="3:5" x14ac:dyDescent="0.3">
      <c r="C65" s="7">
        <f t="shared" si="1"/>
        <v>0</v>
      </c>
      <c r="E65" s="6"/>
    </row>
    <row r="66" spans="3:5" x14ac:dyDescent="0.3">
      <c r="C66" s="7">
        <f t="shared" si="1"/>
        <v>0</v>
      </c>
      <c r="E66" s="6"/>
    </row>
    <row r="67" spans="3:5" x14ac:dyDescent="0.3">
      <c r="C67" s="7">
        <f t="shared" si="1"/>
        <v>0</v>
      </c>
      <c r="E67" s="6"/>
    </row>
    <row r="68" spans="3:5" x14ac:dyDescent="0.3">
      <c r="C68" s="7">
        <f t="shared" si="1"/>
        <v>0</v>
      </c>
      <c r="E68" s="6"/>
    </row>
    <row r="69" spans="3:5" x14ac:dyDescent="0.3">
      <c r="C69" s="7">
        <f t="shared" si="1"/>
        <v>0</v>
      </c>
      <c r="E69" s="6"/>
    </row>
    <row r="70" spans="3:5" x14ac:dyDescent="0.3">
      <c r="C70" s="7">
        <f t="shared" si="1"/>
        <v>0</v>
      </c>
      <c r="E70" s="6"/>
    </row>
    <row r="71" spans="3:5" x14ac:dyDescent="0.3">
      <c r="C71" s="7">
        <f t="shared" si="1"/>
        <v>0</v>
      </c>
      <c r="E71" s="6"/>
    </row>
    <row r="72" spans="3:5" x14ac:dyDescent="0.3">
      <c r="C72" s="7">
        <f t="shared" si="1"/>
        <v>0</v>
      </c>
      <c r="E72" s="6"/>
    </row>
    <row r="73" spans="3:5" x14ac:dyDescent="0.3">
      <c r="C73" s="7">
        <f t="shared" si="1"/>
        <v>0</v>
      </c>
      <c r="E73" s="6"/>
    </row>
    <row r="74" spans="3:5" x14ac:dyDescent="0.3">
      <c r="C74" s="7">
        <f t="shared" si="1"/>
        <v>0</v>
      </c>
      <c r="E74" s="6"/>
    </row>
    <row r="75" spans="3:5" x14ac:dyDescent="0.3">
      <c r="C75" s="7">
        <f t="shared" si="1"/>
        <v>0</v>
      </c>
      <c r="E75" s="6"/>
    </row>
    <row r="76" spans="3:5" x14ac:dyDescent="0.3">
      <c r="C76" s="7">
        <f t="shared" si="1"/>
        <v>0</v>
      </c>
      <c r="E76" s="6"/>
    </row>
    <row r="77" spans="3:5" x14ac:dyDescent="0.3">
      <c r="C77" s="7">
        <f t="shared" si="1"/>
        <v>0</v>
      </c>
      <c r="E77" s="6"/>
    </row>
    <row r="78" spans="3:5" x14ac:dyDescent="0.3">
      <c r="C78" s="7">
        <f t="shared" si="1"/>
        <v>0</v>
      </c>
      <c r="E78" s="6"/>
    </row>
    <row r="79" spans="3:5" x14ac:dyDescent="0.3">
      <c r="C79" s="7">
        <f t="shared" si="1"/>
        <v>0</v>
      </c>
      <c r="E79" s="6"/>
    </row>
  </sheetData>
  <sortState xmlns:xlrd2="http://schemas.microsoft.com/office/spreadsheetml/2017/richdata2" ref="A2:D79">
    <sortCondition ref="A2:A79"/>
  </sortState>
  <phoneticPr fontId="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17E1A-4878-4CB7-9B8B-96A547F0E02E}">
  <sheetPr codeName="Hoja5">
    <tabColor theme="7" tint="0.59999389629810485"/>
  </sheetPr>
  <dimension ref="A1:F119"/>
  <sheetViews>
    <sheetView workbookViewId="0">
      <selection activeCell="I17" sqref="I17"/>
    </sheetView>
  </sheetViews>
  <sheetFormatPr baseColWidth="10" defaultRowHeight="14.4" x14ac:dyDescent="0.3"/>
  <cols>
    <col min="1" max="1" width="57.44140625" style="6" customWidth="1"/>
    <col min="2" max="2" width="17.88671875" style="7" bestFit="1" customWidth="1"/>
    <col min="3" max="3" width="23.33203125" style="7" bestFit="1" customWidth="1"/>
    <col min="4" max="4" width="19" style="7" bestFit="1" customWidth="1"/>
    <col min="5" max="5" width="12" bestFit="1" customWidth="1"/>
  </cols>
  <sheetData>
    <row r="1" spans="1:6" x14ac:dyDescent="0.3">
      <c r="A1" s="4" t="s">
        <v>0</v>
      </c>
      <c r="B1" s="5" t="s">
        <v>7</v>
      </c>
      <c r="C1" s="5" t="s">
        <v>1</v>
      </c>
      <c r="D1" s="5" t="s">
        <v>2</v>
      </c>
      <c r="E1" s="18" t="s">
        <v>29</v>
      </c>
      <c r="F1" s="18" t="s">
        <v>30</v>
      </c>
    </row>
    <row r="2" spans="1:6" x14ac:dyDescent="0.3">
      <c r="A2" s="6" t="s">
        <v>70</v>
      </c>
      <c r="C2" s="7">
        <f>B2*1.5</f>
        <v>0</v>
      </c>
      <c r="D2" s="7">
        <v>2550</v>
      </c>
      <c r="E2" s="14"/>
      <c r="F2" s="14"/>
    </row>
    <row r="3" spans="1:6" x14ac:dyDescent="0.3">
      <c r="A3" s="71" t="s">
        <v>399</v>
      </c>
      <c r="B3" s="72">
        <v>480</v>
      </c>
      <c r="C3" s="72">
        <f>B3*1.7</f>
        <v>816</v>
      </c>
      <c r="D3" s="72">
        <v>800</v>
      </c>
      <c r="E3" s="83"/>
      <c r="F3" s="14"/>
    </row>
    <row r="4" spans="1:6" x14ac:dyDescent="0.3">
      <c r="A4" s="54" t="s">
        <v>398</v>
      </c>
      <c r="B4" s="55">
        <v>915</v>
      </c>
      <c r="C4" s="55">
        <f>B4*1.6</f>
        <v>1464</v>
      </c>
      <c r="D4" s="55">
        <v>1450</v>
      </c>
      <c r="E4" s="93"/>
      <c r="F4" s="14"/>
    </row>
    <row r="5" spans="1:6" x14ac:dyDescent="0.3">
      <c r="A5" s="71" t="s">
        <v>397</v>
      </c>
      <c r="B5" s="72">
        <v>2235</v>
      </c>
      <c r="C5" s="72">
        <f>B5*1.5</f>
        <v>3352.5</v>
      </c>
      <c r="D5" s="72">
        <v>3350</v>
      </c>
      <c r="E5" s="83"/>
      <c r="F5" s="14"/>
    </row>
    <row r="6" spans="1:6" x14ac:dyDescent="0.3">
      <c r="A6" s="54" t="s">
        <v>396</v>
      </c>
      <c r="B6" s="55">
        <v>8800</v>
      </c>
      <c r="C6" s="55">
        <f>B6*1.4</f>
        <v>12320</v>
      </c>
      <c r="D6" s="55">
        <v>12350</v>
      </c>
      <c r="E6" s="93">
        <v>8740</v>
      </c>
      <c r="F6" s="14"/>
    </row>
    <row r="7" spans="1:6" x14ac:dyDescent="0.3">
      <c r="A7" s="6" t="s">
        <v>1258</v>
      </c>
      <c r="B7" s="7">
        <v>980</v>
      </c>
      <c r="C7" s="7">
        <f>B7*1.6</f>
        <v>1568</v>
      </c>
      <c r="D7" s="7">
        <v>1500</v>
      </c>
      <c r="E7" s="14">
        <v>7200</v>
      </c>
      <c r="F7" s="14"/>
    </row>
    <row r="8" spans="1:6" x14ac:dyDescent="0.3">
      <c r="A8" s="34" t="s">
        <v>1257</v>
      </c>
      <c r="B8" s="35">
        <v>410</v>
      </c>
      <c r="C8" s="35">
        <f>B8*1.7</f>
        <v>697</v>
      </c>
      <c r="D8" s="35">
        <v>700</v>
      </c>
      <c r="E8" s="73"/>
      <c r="F8" s="14"/>
    </row>
    <row r="9" spans="1:6" x14ac:dyDescent="0.3">
      <c r="A9" s="66" t="s">
        <v>1256</v>
      </c>
      <c r="B9" s="67">
        <v>760</v>
      </c>
      <c r="C9" s="67">
        <f>B9*1.6</f>
        <v>1216</v>
      </c>
      <c r="D9" s="67">
        <v>1250</v>
      </c>
      <c r="E9" s="119"/>
      <c r="F9" s="14"/>
    </row>
    <row r="10" spans="1:6" x14ac:dyDescent="0.3">
      <c r="A10" s="34" t="s">
        <v>1255</v>
      </c>
      <c r="B10" s="35">
        <v>1850</v>
      </c>
      <c r="C10" s="35">
        <f>B10*1.5</f>
        <v>2775</v>
      </c>
      <c r="D10" s="35">
        <v>2800</v>
      </c>
      <c r="E10" s="73"/>
      <c r="F10" s="14"/>
    </row>
    <row r="11" spans="1:6" x14ac:dyDescent="0.3">
      <c r="A11" s="66" t="s">
        <v>1254</v>
      </c>
      <c r="B11" s="67">
        <v>7250</v>
      </c>
      <c r="C11" s="67">
        <f>B11*1.4</f>
        <v>10150</v>
      </c>
      <c r="D11" s="67">
        <v>10150</v>
      </c>
      <c r="E11" s="119">
        <v>7200</v>
      </c>
      <c r="F11" s="14"/>
    </row>
    <row r="12" spans="1:6" x14ac:dyDescent="0.3">
      <c r="A12" s="90" t="s">
        <v>872</v>
      </c>
      <c r="B12" s="91">
        <v>330</v>
      </c>
      <c r="C12" s="91">
        <f>B12*1.8</f>
        <v>594</v>
      </c>
      <c r="D12" s="91">
        <v>600</v>
      </c>
      <c r="E12" s="107">
        <v>5600</v>
      </c>
      <c r="F12" s="14"/>
    </row>
    <row r="13" spans="1:6" x14ac:dyDescent="0.3">
      <c r="A13" s="68" t="s">
        <v>871</v>
      </c>
      <c r="B13" s="69">
        <v>600</v>
      </c>
      <c r="C13" s="69">
        <f>B13*1.7</f>
        <v>1020</v>
      </c>
      <c r="D13" s="69">
        <v>1000</v>
      </c>
      <c r="E13" s="70"/>
      <c r="F13" s="14"/>
    </row>
    <row r="14" spans="1:6" x14ac:dyDescent="0.3">
      <c r="A14" s="90" t="s">
        <v>870</v>
      </c>
      <c r="B14" s="91">
        <v>1060</v>
      </c>
      <c r="C14" s="91">
        <f>B14*1.6</f>
        <v>1696</v>
      </c>
      <c r="D14" s="91">
        <v>1700</v>
      </c>
      <c r="E14" s="107"/>
      <c r="F14" s="14"/>
    </row>
    <row r="15" spans="1:6" x14ac:dyDescent="0.3">
      <c r="A15" s="71" t="s">
        <v>1264</v>
      </c>
      <c r="B15" s="72">
        <v>750</v>
      </c>
      <c r="C15" s="72">
        <f>B15*1.7</f>
        <v>1275</v>
      </c>
      <c r="D15" s="72">
        <v>1300</v>
      </c>
      <c r="E15" s="83"/>
      <c r="F15" s="83"/>
    </row>
    <row r="16" spans="1:6" x14ac:dyDescent="0.3">
      <c r="A16" s="71" t="s">
        <v>1263</v>
      </c>
      <c r="B16" s="72">
        <v>400</v>
      </c>
      <c r="C16" s="72">
        <f>B16*1.8</f>
        <v>720</v>
      </c>
      <c r="D16" s="72">
        <v>700</v>
      </c>
      <c r="E16" s="83">
        <v>7000</v>
      </c>
      <c r="F16" s="83"/>
    </row>
    <row r="17" spans="1:6" x14ac:dyDescent="0.3">
      <c r="A17" s="6" t="s">
        <v>400</v>
      </c>
      <c r="B17" s="7">
        <v>320</v>
      </c>
      <c r="C17" s="7">
        <f>B17*1.8</f>
        <v>576</v>
      </c>
      <c r="D17" s="7">
        <v>600</v>
      </c>
      <c r="E17" s="14">
        <v>8930</v>
      </c>
      <c r="F17" s="14"/>
    </row>
    <row r="18" spans="1:6" x14ac:dyDescent="0.3">
      <c r="A18" s="6" t="s">
        <v>401</v>
      </c>
      <c r="B18" s="7">
        <v>360</v>
      </c>
      <c r="C18" s="7">
        <f>B18*1.7</f>
        <v>612</v>
      </c>
      <c r="D18" s="7">
        <v>700</v>
      </c>
      <c r="E18" s="14">
        <v>12300</v>
      </c>
      <c r="F18" s="14"/>
    </row>
    <row r="19" spans="1:6" x14ac:dyDescent="0.3">
      <c r="A19" s="6" t="s">
        <v>402</v>
      </c>
      <c r="B19" s="7">
        <v>475</v>
      </c>
      <c r="C19" s="7">
        <f>B19*1.7</f>
        <v>807.5</v>
      </c>
      <c r="D19" s="7">
        <v>800</v>
      </c>
      <c r="E19" s="14">
        <v>29000</v>
      </c>
      <c r="F19" s="14"/>
    </row>
    <row r="20" spans="1:6" x14ac:dyDescent="0.3">
      <c r="A20" s="6" t="s">
        <v>121</v>
      </c>
      <c r="B20" s="7">
        <v>125</v>
      </c>
      <c r="C20" s="35">
        <f>B20*1.8</f>
        <v>225</v>
      </c>
      <c r="D20" s="7">
        <v>200</v>
      </c>
      <c r="E20" s="14"/>
      <c r="F20" s="14"/>
    </row>
    <row r="21" spans="1:6" x14ac:dyDescent="0.3">
      <c r="A21" s="6" t="s">
        <v>1247</v>
      </c>
      <c r="B21" s="7">
        <v>1200</v>
      </c>
      <c r="C21" s="35">
        <f>B21*1.6</f>
        <v>1920</v>
      </c>
      <c r="D21" s="7">
        <v>1900</v>
      </c>
      <c r="E21" s="14"/>
      <c r="F21" s="14"/>
    </row>
    <row r="22" spans="1:6" x14ac:dyDescent="0.3">
      <c r="A22" s="48" t="s">
        <v>403</v>
      </c>
      <c r="B22" s="49">
        <v>1063</v>
      </c>
      <c r="C22" s="49">
        <f>B22*1.75</f>
        <v>1860.25</v>
      </c>
      <c r="D22" s="49">
        <v>1850</v>
      </c>
      <c r="E22" s="105"/>
      <c r="F22" s="105"/>
    </row>
    <row r="23" spans="1:6" x14ac:dyDescent="0.3">
      <c r="A23" s="52" t="s">
        <v>1165</v>
      </c>
      <c r="B23" s="53">
        <v>1570</v>
      </c>
      <c r="C23" s="53">
        <f>B23*1.7</f>
        <v>2669</v>
      </c>
      <c r="D23" s="53">
        <v>2650</v>
      </c>
      <c r="E23" s="95"/>
      <c r="F23" s="95"/>
    </row>
    <row r="24" spans="1:6" x14ac:dyDescent="0.3">
      <c r="A24" s="48" t="s">
        <v>1164</v>
      </c>
      <c r="B24" s="49">
        <v>2580</v>
      </c>
      <c r="C24" s="49">
        <f>B24*1.6</f>
        <v>4128</v>
      </c>
      <c r="D24" s="49">
        <v>4140</v>
      </c>
      <c r="E24" s="105">
        <v>10130</v>
      </c>
      <c r="F24" s="105"/>
    </row>
    <row r="25" spans="1:6" x14ac:dyDescent="0.3">
      <c r="A25" s="6" t="s">
        <v>542</v>
      </c>
      <c r="B25" s="7">
        <v>600</v>
      </c>
      <c r="C25" s="35">
        <f>B25*1.7</f>
        <v>1020</v>
      </c>
      <c r="D25" s="7">
        <v>1050</v>
      </c>
      <c r="E25" s="14">
        <v>48500</v>
      </c>
      <c r="F25" s="14"/>
    </row>
    <row r="26" spans="1:6" x14ac:dyDescent="0.3">
      <c r="A26" s="6" t="s">
        <v>543</v>
      </c>
      <c r="B26" s="7">
        <v>840</v>
      </c>
      <c r="C26" s="7">
        <f>B26*1.7</f>
        <v>1428</v>
      </c>
      <c r="D26" s="7">
        <v>1500</v>
      </c>
      <c r="E26" s="14"/>
      <c r="F26" s="14"/>
    </row>
    <row r="27" spans="1:6" x14ac:dyDescent="0.3">
      <c r="A27" s="6" t="s">
        <v>544</v>
      </c>
      <c r="B27" s="7">
        <v>1150</v>
      </c>
      <c r="C27" s="7">
        <f>B27*1.7</f>
        <v>1955</v>
      </c>
      <c r="D27" s="7">
        <v>2000</v>
      </c>
      <c r="E27" s="14"/>
      <c r="F27" s="14"/>
    </row>
    <row r="28" spans="1:6" x14ac:dyDescent="0.3">
      <c r="A28" s="34" t="s">
        <v>610</v>
      </c>
      <c r="B28" s="35">
        <v>1670</v>
      </c>
      <c r="C28" s="35">
        <f>B28*1.5</f>
        <v>2505</v>
      </c>
      <c r="D28" s="35">
        <v>2500</v>
      </c>
      <c r="E28" s="73"/>
      <c r="F28" s="14"/>
    </row>
    <row r="29" spans="1:6" x14ac:dyDescent="0.3">
      <c r="A29" s="71" t="s">
        <v>609</v>
      </c>
      <c r="B29" s="72">
        <v>2430</v>
      </c>
      <c r="C29" s="72">
        <f>B29*1.4</f>
        <v>3402</v>
      </c>
      <c r="D29" s="72">
        <v>3400</v>
      </c>
      <c r="E29" s="83"/>
      <c r="F29" s="14"/>
    </row>
    <row r="30" spans="1:6" x14ac:dyDescent="0.3">
      <c r="A30" s="71" t="s">
        <v>608</v>
      </c>
      <c r="B30" s="72">
        <v>700</v>
      </c>
      <c r="C30" s="72">
        <f>B30*1.6</f>
        <v>1120</v>
      </c>
      <c r="D30" s="72">
        <v>1200</v>
      </c>
      <c r="E30" s="83">
        <v>16200</v>
      </c>
      <c r="F30" s="14"/>
    </row>
    <row r="31" spans="1:6" x14ac:dyDescent="0.3">
      <c r="A31" s="98" t="s">
        <v>1261</v>
      </c>
      <c r="B31" s="99">
        <v>522</v>
      </c>
      <c r="C31" s="99">
        <f>B31*1.7</f>
        <v>887.4</v>
      </c>
      <c r="D31" s="99">
        <v>900</v>
      </c>
      <c r="E31" s="115">
        <v>11800</v>
      </c>
      <c r="F31" s="115"/>
    </row>
    <row r="32" spans="1:6" x14ac:dyDescent="0.3">
      <c r="A32" s="98" t="s">
        <v>1262</v>
      </c>
      <c r="B32" s="99">
        <v>760</v>
      </c>
      <c r="C32" s="99">
        <f>B32*1.7</f>
        <v>1292</v>
      </c>
      <c r="D32" s="99">
        <v>1200</v>
      </c>
      <c r="E32" s="115"/>
      <c r="F32" s="115"/>
    </row>
    <row r="33" spans="1:6" x14ac:dyDescent="0.3">
      <c r="A33" s="6" t="s">
        <v>404</v>
      </c>
      <c r="B33" s="7">
        <v>430</v>
      </c>
      <c r="C33" s="7">
        <f>B33*1.7</f>
        <v>731</v>
      </c>
      <c r="D33" s="7">
        <v>700</v>
      </c>
      <c r="E33" s="14">
        <v>9500</v>
      </c>
      <c r="F33" s="14"/>
    </row>
    <row r="34" spans="1:6" x14ac:dyDescent="0.3">
      <c r="A34" s="6" t="s">
        <v>405</v>
      </c>
      <c r="B34" s="7">
        <v>440</v>
      </c>
      <c r="C34" s="7">
        <f>B34*1.6</f>
        <v>704</v>
      </c>
      <c r="D34" s="7">
        <v>700</v>
      </c>
      <c r="E34" s="14">
        <v>8800</v>
      </c>
      <c r="F34" s="14"/>
    </row>
    <row r="35" spans="1:6" x14ac:dyDescent="0.3">
      <c r="A35" s="6" t="s">
        <v>394</v>
      </c>
      <c r="B35" s="7">
        <v>530</v>
      </c>
      <c r="C35" s="7">
        <f>B35*1.6</f>
        <v>848</v>
      </c>
      <c r="D35" s="7">
        <v>800</v>
      </c>
      <c r="E35" s="14">
        <v>49000</v>
      </c>
      <c r="F35" s="14"/>
    </row>
    <row r="36" spans="1:6" x14ac:dyDescent="0.3">
      <c r="A36" s="6" t="s">
        <v>395</v>
      </c>
      <c r="B36" s="7">
        <v>1020</v>
      </c>
      <c r="C36" s="7">
        <f>B36*1.6</f>
        <v>1632</v>
      </c>
      <c r="D36" s="7">
        <v>1500</v>
      </c>
      <c r="E36" s="14"/>
      <c r="F36" s="14"/>
    </row>
    <row r="37" spans="1:6" x14ac:dyDescent="0.3">
      <c r="A37" s="6" t="s">
        <v>435</v>
      </c>
      <c r="B37" s="7">
        <v>1360</v>
      </c>
      <c r="C37" s="7">
        <f>B37*1.6</f>
        <v>2176</v>
      </c>
      <c r="D37" s="7">
        <v>2200</v>
      </c>
      <c r="E37" s="14"/>
      <c r="F37" s="14"/>
    </row>
    <row r="38" spans="1:6" x14ac:dyDescent="0.3">
      <c r="A38" s="6" t="s">
        <v>407</v>
      </c>
      <c r="B38" s="7">
        <v>1800</v>
      </c>
      <c r="C38" s="7">
        <f>B38*1.5</f>
        <v>2700</v>
      </c>
      <c r="D38" s="7">
        <v>2700</v>
      </c>
      <c r="E38" s="14">
        <v>8730</v>
      </c>
      <c r="F38" s="14"/>
    </row>
    <row r="39" spans="1:6" x14ac:dyDescent="0.3">
      <c r="A39" s="6" t="s">
        <v>406</v>
      </c>
      <c r="B39" s="7">
        <v>443</v>
      </c>
      <c r="C39" s="35">
        <f>B39*1.7</f>
        <v>753.1</v>
      </c>
      <c r="D39" s="7">
        <v>750</v>
      </c>
      <c r="E39" s="14"/>
      <c r="F39" s="14"/>
    </row>
    <row r="40" spans="1:6" x14ac:dyDescent="0.3">
      <c r="A40" s="34" t="s">
        <v>408</v>
      </c>
      <c r="B40" s="35">
        <v>450</v>
      </c>
      <c r="C40" s="35">
        <f>B40*1.7</f>
        <v>765</v>
      </c>
      <c r="D40" s="35">
        <v>750</v>
      </c>
      <c r="E40" s="73">
        <v>9000</v>
      </c>
      <c r="F40" s="14"/>
    </row>
    <row r="41" spans="1:6" x14ac:dyDescent="0.3">
      <c r="A41" s="6" t="s">
        <v>409</v>
      </c>
      <c r="B41" s="7">
        <v>999999</v>
      </c>
      <c r="C41" s="7">
        <f>B41*1.6</f>
        <v>1599998.4000000001</v>
      </c>
      <c r="D41" s="7">
        <v>9999</v>
      </c>
      <c r="E41" s="14">
        <v>10100</v>
      </c>
      <c r="F41" s="14"/>
    </row>
    <row r="42" spans="1:6" x14ac:dyDescent="0.3">
      <c r="A42" s="6" t="s">
        <v>482</v>
      </c>
      <c r="B42" s="7">
        <v>800</v>
      </c>
      <c r="C42" s="7">
        <f>B42*1.6</f>
        <v>1280</v>
      </c>
      <c r="D42" s="7">
        <v>1300</v>
      </c>
      <c r="E42" s="14"/>
      <c r="F42" s="14"/>
    </row>
    <row r="43" spans="1:6" x14ac:dyDescent="0.3">
      <c r="A43" s="6" t="s">
        <v>481</v>
      </c>
      <c r="B43" s="7">
        <v>350</v>
      </c>
      <c r="C43" s="7">
        <f>B43*1.8</f>
        <v>630</v>
      </c>
      <c r="D43" s="7">
        <v>600</v>
      </c>
      <c r="E43" s="14">
        <v>7420</v>
      </c>
      <c r="F43" s="14"/>
    </row>
    <row r="44" spans="1:6" x14ac:dyDescent="0.3">
      <c r="A44" s="6" t="s">
        <v>410</v>
      </c>
      <c r="B44" s="7">
        <v>200</v>
      </c>
      <c r="C44" s="35">
        <f>B44*1.8</f>
        <v>360</v>
      </c>
      <c r="D44" s="7">
        <v>400</v>
      </c>
      <c r="E44" s="14">
        <v>4000</v>
      </c>
      <c r="F44" s="14"/>
    </row>
    <row r="45" spans="1:6" x14ac:dyDescent="0.3">
      <c r="A45" s="6" t="s">
        <v>1252</v>
      </c>
      <c r="B45" s="7">
        <v>10000</v>
      </c>
      <c r="C45" s="7">
        <f>B45*1.5</f>
        <v>15000</v>
      </c>
      <c r="D45" s="7">
        <v>15000</v>
      </c>
      <c r="E45" s="14"/>
      <c r="F45" s="14"/>
    </row>
    <row r="46" spans="1:6" x14ac:dyDescent="0.3">
      <c r="A46" s="71" t="s">
        <v>1161</v>
      </c>
      <c r="B46" s="72">
        <v>1850</v>
      </c>
      <c r="C46" s="72">
        <f>B46*1.6</f>
        <v>2960</v>
      </c>
      <c r="D46" s="72">
        <v>2950</v>
      </c>
      <c r="E46" s="83"/>
      <c r="F46" s="14"/>
    </row>
    <row r="47" spans="1:6" x14ac:dyDescent="0.3">
      <c r="A47" s="54" t="s">
        <v>1160</v>
      </c>
      <c r="B47" s="55">
        <v>4550</v>
      </c>
      <c r="C47" s="55">
        <f>B47*1.5</f>
        <v>6825</v>
      </c>
      <c r="D47" s="55">
        <v>6800</v>
      </c>
      <c r="E47" s="93"/>
      <c r="F47" s="14"/>
    </row>
    <row r="48" spans="1:6" x14ac:dyDescent="0.3">
      <c r="A48" s="71" t="s">
        <v>1159</v>
      </c>
      <c r="B48" s="72">
        <v>950</v>
      </c>
      <c r="C48" s="72">
        <f>B48*1.7</f>
        <v>1615</v>
      </c>
      <c r="D48" s="72">
        <v>1600</v>
      </c>
      <c r="E48" s="83">
        <v>18000</v>
      </c>
      <c r="F48" s="14"/>
    </row>
    <row r="49" spans="1:6" x14ac:dyDescent="0.3">
      <c r="A49" s="6" t="s">
        <v>411</v>
      </c>
      <c r="B49" s="7">
        <v>700</v>
      </c>
      <c r="C49" s="7">
        <f>B49*1.7</f>
        <v>1190</v>
      </c>
      <c r="D49" s="7">
        <v>1200</v>
      </c>
      <c r="E49" s="14">
        <v>14300</v>
      </c>
      <c r="F49" s="14"/>
    </row>
    <row r="50" spans="1:6" x14ac:dyDescent="0.3">
      <c r="A50" s="6" t="s">
        <v>514</v>
      </c>
      <c r="B50" s="7">
        <v>750</v>
      </c>
      <c r="C50" s="7">
        <f>B50*1.7</f>
        <v>1275</v>
      </c>
      <c r="D50" s="7">
        <v>1300</v>
      </c>
      <c r="E50" s="14">
        <v>14000</v>
      </c>
      <c r="F50" s="14"/>
    </row>
    <row r="51" spans="1:6" x14ac:dyDescent="0.3">
      <c r="A51" s="6" t="s">
        <v>1163</v>
      </c>
      <c r="B51" s="7">
        <v>1450</v>
      </c>
      <c r="C51" s="7">
        <f>B51*1.7</f>
        <v>2465</v>
      </c>
      <c r="D51" s="7">
        <v>2450</v>
      </c>
      <c r="E51" s="14"/>
      <c r="F51" s="14"/>
    </row>
    <row r="52" spans="1:6" x14ac:dyDescent="0.3">
      <c r="A52" s="6" t="s">
        <v>1162</v>
      </c>
      <c r="B52" s="7">
        <v>3550</v>
      </c>
      <c r="C52" s="7">
        <f>B52*1.6</f>
        <v>5680</v>
      </c>
      <c r="D52" s="7">
        <v>5700</v>
      </c>
      <c r="E52" s="14">
        <v>14000</v>
      </c>
      <c r="F52" s="14"/>
    </row>
    <row r="53" spans="1:6" x14ac:dyDescent="0.3">
      <c r="A53" s="6" t="s">
        <v>904</v>
      </c>
      <c r="B53" s="7">
        <v>4000</v>
      </c>
      <c r="C53" s="7">
        <f>B53*1.5</f>
        <v>6000</v>
      </c>
      <c r="D53" s="7">
        <v>6000</v>
      </c>
      <c r="E53" s="14"/>
      <c r="F53" s="14"/>
    </row>
    <row r="54" spans="1:6" x14ac:dyDescent="0.3">
      <c r="A54" s="6" t="s">
        <v>1078</v>
      </c>
      <c r="B54" s="7">
        <v>4000</v>
      </c>
      <c r="C54" s="7">
        <f>B54*1.5</f>
        <v>6000</v>
      </c>
      <c r="D54" s="7">
        <v>6000</v>
      </c>
      <c r="E54" s="14"/>
      <c r="F54" s="14"/>
    </row>
    <row r="55" spans="1:6" x14ac:dyDescent="0.3">
      <c r="A55" s="34" t="s">
        <v>59</v>
      </c>
      <c r="B55" s="35">
        <v>355</v>
      </c>
      <c r="C55" s="35">
        <f>B55*1.8</f>
        <v>639</v>
      </c>
      <c r="D55" s="35">
        <v>600</v>
      </c>
      <c r="E55" s="73">
        <v>7100</v>
      </c>
      <c r="F55" s="14"/>
    </row>
    <row r="56" spans="1:6" x14ac:dyDescent="0.3">
      <c r="A56" s="6" t="s">
        <v>454</v>
      </c>
      <c r="B56" s="7">
        <v>2400</v>
      </c>
      <c r="C56" s="7">
        <f>B56*1.5</f>
        <v>3600</v>
      </c>
      <c r="D56" s="7">
        <v>3600</v>
      </c>
      <c r="E56" s="14">
        <v>6000</v>
      </c>
      <c r="F56" s="14"/>
    </row>
    <row r="57" spans="1:6" x14ac:dyDescent="0.3">
      <c r="A57" s="6" t="s">
        <v>453</v>
      </c>
      <c r="B57" s="7">
        <v>1200</v>
      </c>
      <c r="C57" s="7">
        <f>B57*1.6</f>
        <v>1920</v>
      </c>
      <c r="D57" s="7">
        <v>1900</v>
      </c>
      <c r="E57" s="14"/>
      <c r="F57" s="14"/>
    </row>
    <row r="58" spans="1:6" x14ac:dyDescent="0.3">
      <c r="A58" s="6" t="s">
        <v>452</v>
      </c>
      <c r="B58" s="7">
        <v>6000</v>
      </c>
      <c r="C58" s="7">
        <f>B58*1.6</f>
        <v>9600</v>
      </c>
      <c r="D58" s="7">
        <v>8500</v>
      </c>
      <c r="E58" s="14"/>
      <c r="F58" s="14"/>
    </row>
    <row r="59" spans="1:6" x14ac:dyDescent="0.3">
      <c r="A59" s="54" t="s">
        <v>1109</v>
      </c>
      <c r="B59" s="55">
        <v>535</v>
      </c>
      <c r="C59" s="55">
        <f>B59*1.8</f>
        <v>963</v>
      </c>
      <c r="D59" s="55">
        <v>1000</v>
      </c>
      <c r="E59" s="93">
        <v>9700</v>
      </c>
      <c r="F59" s="93"/>
    </row>
    <row r="60" spans="1:6" x14ac:dyDescent="0.3">
      <c r="A60" s="6" t="s">
        <v>1253</v>
      </c>
      <c r="B60" s="7">
        <v>6000</v>
      </c>
      <c r="C60" s="7">
        <f>B60*1.5</f>
        <v>9000</v>
      </c>
      <c r="D60" s="7">
        <v>9000</v>
      </c>
      <c r="E60" s="14"/>
      <c r="F60" s="14"/>
    </row>
    <row r="61" spans="1:6" x14ac:dyDescent="0.3">
      <c r="A61" s="71" t="s">
        <v>1108</v>
      </c>
      <c r="B61" s="72">
        <v>1020</v>
      </c>
      <c r="C61" s="72">
        <f>B61*1.7</f>
        <v>1734</v>
      </c>
      <c r="D61" s="72">
        <v>1750</v>
      </c>
      <c r="E61" s="83"/>
      <c r="F61" s="83"/>
    </row>
    <row r="62" spans="1:6" x14ac:dyDescent="0.3">
      <c r="A62" s="54" t="s">
        <v>1107</v>
      </c>
      <c r="B62" s="55">
        <v>1475</v>
      </c>
      <c r="C62" s="55">
        <f>B62*1.6</f>
        <v>2360</v>
      </c>
      <c r="D62" s="55">
        <v>2350</v>
      </c>
      <c r="E62" s="93"/>
      <c r="F62" s="93"/>
    </row>
    <row r="63" spans="1:6" x14ac:dyDescent="0.3">
      <c r="A63" s="34" t="s">
        <v>284</v>
      </c>
      <c r="B63" s="35">
        <v>250</v>
      </c>
      <c r="C63" s="35">
        <f>B63*1.8</f>
        <v>450</v>
      </c>
      <c r="D63" s="35">
        <v>500</v>
      </c>
      <c r="E63" s="73">
        <v>13150</v>
      </c>
      <c r="F63" s="14"/>
    </row>
    <row r="64" spans="1:6" x14ac:dyDescent="0.3">
      <c r="A64" s="6" t="s">
        <v>412</v>
      </c>
      <c r="B64" s="7">
        <v>1000</v>
      </c>
      <c r="C64" s="7">
        <f>B64*1.7</f>
        <v>1700</v>
      </c>
      <c r="D64" s="7">
        <v>1700</v>
      </c>
      <c r="E64" s="14">
        <v>9500</v>
      </c>
      <c r="F64" s="14" t="s">
        <v>299</v>
      </c>
    </row>
    <row r="65" spans="1:6" x14ac:dyDescent="0.3">
      <c r="A65" s="6" t="s">
        <v>413</v>
      </c>
      <c r="B65" s="7">
        <v>2450</v>
      </c>
      <c r="C65" s="7">
        <f>B65*1.6</f>
        <v>3920</v>
      </c>
      <c r="D65" s="7">
        <v>3900</v>
      </c>
      <c r="E65" s="14"/>
      <c r="F65" s="14"/>
    </row>
    <row r="66" spans="1:6" x14ac:dyDescent="0.3">
      <c r="A66" s="6" t="s">
        <v>19</v>
      </c>
      <c r="B66" s="7">
        <v>965</v>
      </c>
      <c r="C66" s="35">
        <f t="shared" ref="C66:C78" si="0">B66*1.8</f>
        <v>1737</v>
      </c>
      <c r="D66" s="7">
        <v>1730</v>
      </c>
      <c r="E66" s="14"/>
      <c r="F66" s="14"/>
    </row>
    <row r="67" spans="1:6" x14ac:dyDescent="0.3">
      <c r="A67" s="6" t="s">
        <v>18</v>
      </c>
      <c r="B67" s="7">
        <v>1860</v>
      </c>
      <c r="C67" s="35">
        <f t="shared" si="0"/>
        <v>3348</v>
      </c>
      <c r="D67" s="7">
        <v>3350</v>
      </c>
      <c r="E67" s="14"/>
      <c r="F67" s="14"/>
    </row>
    <row r="68" spans="1:6" x14ac:dyDescent="0.3">
      <c r="A68" s="6" t="s">
        <v>21</v>
      </c>
      <c r="B68" s="7">
        <v>1100</v>
      </c>
      <c r="C68" s="35">
        <f t="shared" si="0"/>
        <v>1980</v>
      </c>
      <c r="D68" s="7">
        <v>1950</v>
      </c>
      <c r="E68" s="14"/>
      <c r="F68" s="14"/>
    </row>
    <row r="69" spans="1:6" x14ac:dyDescent="0.3">
      <c r="A69" s="6" t="s">
        <v>24</v>
      </c>
      <c r="B69" s="7">
        <v>850</v>
      </c>
      <c r="C69" s="35">
        <f t="shared" si="0"/>
        <v>1530</v>
      </c>
      <c r="D69" s="7">
        <v>1550</v>
      </c>
      <c r="E69" s="14"/>
      <c r="F69" s="14"/>
    </row>
    <row r="70" spans="1:6" x14ac:dyDescent="0.3">
      <c r="A70" s="6" t="s">
        <v>22</v>
      </c>
      <c r="B70" s="7">
        <v>1100</v>
      </c>
      <c r="C70" s="35">
        <f t="shared" si="0"/>
        <v>1980</v>
      </c>
      <c r="D70" s="7">
        <v>1900</v>
      </c>
      <c r="E70" s="14"/>
      <c r="F70" s="14"/>
    </row>
    <row r="71" spans="1:6" x14ac:dyDescent="0.3">
      <c r="A71" s="6" t="s">
        <v>16</v>
      </c>
      <c r="B71" s="7">
        <v>1100</v>
      </c>
      <c r="C71" s="35">
        <f t="shared" si="0"/>
        <v>1980</v>
      </c>
      <c r="D71" s="7">
        <v>1900</v>
      </c>
      <c r="E71" s="14"/>
      <c r="F71" s="14"/>
    </row>
    <row r="72" spans="1:6" x14ac:dyDescent="0.3">
      <c r="A72" s="6" t="s">
        <v>17</v>
      </c>
      <c r="B72" s="7">
        <v>1100</v>
      </c>
      <c r="C72" s="35">
        <f t="shared" si="0"/>
        <v>1980</v>
      </c>
      <c r="D72" s="7">
        <v>1900</v>
      </c>
      <c r="E72" s="14"/>
      <c r="F72" s="14"/>
    </row>
    <row r="73" spans="1:6" x14ac:dyDescent="0.3">
      <c r="A73" s="6" t="s">
        <v>23</v>
      </c>
      <c r="B73" s="7">
        <v>1500</v>
      </c>
      <c r="C73" s="35">
        <f t="shared" si="0"/>
        <v>2700</v>
      </c>
      <c r="D73" s="7">
        <v>2700</v>
      </c>
      <c r="E73" s="14"/>
      <c r="F73" s="14"/>
    </row>
    <row r="74" spans="1:6" x14ac:dyDescent="0.3">
      <c r="A74" s="6" t="s">
        <v>20</v>
      </c>
      <c r="B74" s="7">
        <v>562</v>
      </c>
      <c r="C74" s="35">
        <f t="shared" si="0"/>
        <v>1011.6</v>
      </c>
      <c r="D74" s="7">
        <v>1000</v>
      </c>
      <c r="E74" s="14"/>
      <c r="F74" s="14"/>
    </row>
    <row r="75" spans="1:6" x14ac:dyDescent="0.3">
      <c r="A75" s="6" t="s">
        <v>25</v>
      </c>
      <c r="B75" s="7">
        <v>650</v>
      </c>
      <c r="C75" s="35">
        <f t="shared" si="0"/>
        <v>1170</v>
      </c>
      <c r="D75" s="7">
        <v>1170</v>
      </c>
      <c r="E75" s="14"/>
      <c r="F75" s="14"/>
    </row>
    <row r="76" spans="1:6" x14ac:dyDescent="0.3">
      <c r="A76" s="6" t="s">
        <v>414</v>
      </c>
      <c r="B76" s="7">
        <v>350</v>
      </c>
      <c r="C76" s="7">
        <f t="shared" si="0"/>
        <v>630</v>
      </c>
      <c r="D76" s="7">
        <v>650</v>
      </c>
      <c r="E76" s="14">
        <v>7900</v>
      </c>
      <c r="F76" s="14"/>
    </row>
    <row r="77" spans="1:6" x14ac:dyDescent="0.3">
      <c r="A77" s="6" t="s">
        <v>841</v>
      </c>
      <c r="B77" s="7">
        <v>250</v>
      </c>
      <c r="C77" s="35">
        <f t="shared" si="0"/>
        <v>450</v>
      </c>
      <c r="D77" s="7">
        <v>500</v>
      </c>
      <c r="E77" s="14"/>
      <c r="F77" s="14"/>
    </row>
    <row r="78" spans="1:6" x14ac:dyDescent="0.3">
      <c r="A78" s="6" t="s">
        <v>488</v>
      </c>
      <c r="B78" s="7">
        <v>680</v>
      </c>
      <c r="C78" s="7">
        <f t="shared" si="0"/>
        <v>1224</v>
      </c>
      <c r="D78" s="7">
        <v>1200</v>
      </c>
      <c r="E78" s="14">
        <v>21000</v>
      </c>
      <c r="F78" s="14"/>
    </row>
    <row r="79" spans="1:6" x14ac:dyDescent="0.3">
      <c r="A79" s="6" t="s">
        <v>489</v>
      </c>
      <c r="B79" s="7">
        <v>1100</v>
      </c>
      <c r="C79" s="7">
        <f>B79*1.6</f>
        <v>1760</v>
      </c>
      <c r="D79" s="7">
        <v>1800</v>
      </c>
      <c r="E79" s="14"/>
      <c r="F79" s="14"/>
    </row>
    <row r="80" spans="1:6" x14ac:dyDescent="0.3">
      <c r="A80" s="6" t="s">
        <v>334</v>
      </c>
      <c r="B80" s="7">
        <v>500</v>
      </c>
      <c r="C80" s="35">
        <f>B80*1.4</f>
        <v>700</v>
      </c>
      <c r="D80" s="7">
        <v>900</v>
      </c>
      <c r="E80" s="14"/>
      <c r="F80" s="14"/>
    </row>
    <row r="81" spans="1:6" x14ac:dyDescent="0.3">
      <c r="A81" s="6" t="s">
        <v>1001</v>
      </c>
      <c r="B81" s="7">
        <v>200</v>
      </c>
      <c r="C81" s="7">
        <f>B81*1.9</f>
        <v>380</v>
      </c>
      <c r="D81" s="7">
        <v>400</v>
      </c>
      <c r="E81" s="14"/>
      <c r="F81" s="14"/>
    </row>
    <row r="82" spans="1:6" x14ac:dyDescent="0.3">
      <c r="A82" s="64" t="s">
        <v>879</v>
      </c>
      <c r="B82" s="65">
        <v>260</v>
      </c>
      <c r="C82" s="65">
        <f>B82*1.9</f>
        <v>494</v>
      </c>
      <c r="D82" s="65">
        <v>500</v>
      </c>
      <c r="E82" s="108">
        <v>6200</v>
      </c>
      <c r="F82" s="108"/>
    </row>
    <row r="83" spans="1:6" x14ac:dyDescent="0.3">
      <c r="A83" s="34" t="s">
        <v>880</v>
      </c>
      <c r="B83" s="35">
        <v>360</v>
      </c>
      <c r="C83" s="35">
        <f>B83*1.8</f>
        <v>648</v>
      </c>
      <c r="D83" s="35">
        <v>700</v>
      </c>
      <c r="E83" s="73"/>
      <c r="F83" s="73"/>
    </row>
    <row r="84" spans="1:6" x14ac:dyDescent="0.3">
      <c r="A84" s="64" t="s">
        <v>881</v>
      </c>
      <c r="B84" s="65">
        <v>700</v>
      </c>
      <c r="C84" s="65">
        <f>B84*1.7</f>
        <v>1190</v>
      </c>
      <c r="D84" s="65">
        <v>1200</v>
      </c>
      <c r="E84" s="108">
        <v>6200</v>
      </c>
      <c r="F84" s="108"/>
    </row>
    <row r="85" spans="1:6" x14ac:dyDescent="0.3">
      <c r="A85" s="34" t="s">
        <v>882</v>
      </c>
      <c r="B85" s="35">
        <v>1600</v>
      </c>
      <c r="C85" s="35">
        <f>B85*1.6</f>
        <v>2560</v>
      </c>
      <c r="D85" s="35">
        <v>2500</v>
      </c>
      <c r="E85" s="73">
        <v>6200</v>
      </c>
      <c r="F85" s="73"/>
    </row>
    <row r="86" spans="1:6" x14ac:dyDescent="0.3">
      <c r="A86" s="6" t="s">
        <v>437</v>
      </c>
      <c r="B86" s="7">
        <v>1625</v>
      </c>
      <c r="C86" s="7">
        <f>B86*1.6</f>
        <v>2600</v>
      </c>
      <c r="D86" s="7">
        <v>2600</v>
      </c>
      <c r="E86" s="14"/>
      <c r="F86" s="14"/>
    </row>
    <row r="87" spans="1:6" x14ac:dyDescent="0.3">
      <c r="A87" s="6" t="s">
        <v>436</v>
      </c>
      <c r="B87" s="7">
        <v>575</v>
      </c>
      <c r="C87" s="35">
        <f>B87*1.8</f>
        <v>1035</v>
      </c>
      <c r="D87" s="7">
        <v>1000</v>
      </c>
      <c r="E87" s="14">
        <v>10500</v>
      </c>
      <c r="F87" s="14"/>
    </row>
    <row r="88" spans="1:6" x14ac:dyDescent="0.3">
      <c r="A88" s="6" t="s">
        <v>415</v>
      </c>
      <c r="B88" s="7">
        <v>432</v>
      </c>
      <c r="C88" s="7">
        <f>B88*1.6</f>
        <v>691.2</v>
      </c>
      <c r="D88" s="7">
        <v>700</v>
      </c>
      <c r="E88" s="14">
        <v>7845</v>
      </c>
      <c r="F88" s="14"/>
    </row>
    <row r="89" spans="1:6" x14ac:dyDescent="0.3">
      <c r="A89" s="71" t="s">
        <v>417</v>
      </c>
      <c r="B89" s="72">
        <v>1500</v>
      </c>
      <c r="C89" s="72">
        <f>B89*1.6</f>
        <v>2400</v>
      </c>
      <c r="D89" s="72">
        <v>2400</v>
      </c>
      <c r="E89" s="83"/>
      <c r="F89" s="14"/>
    </row>
    <row r="90" spans="1:6" x14ac:dyDescent="0.3">
      <c r="A90" s="6" t="s">
        <v>416</v>
      </c>
      <c r="B90" s="7">
        <v>535</v>
      </c>
      <c r="C90" s="7">
        <f>B90*1.8</f>
        <v>963</v>
      </c>
      <c r="D90" s="7">
        <v>950</v>
      </c>
      <c r="E90" s="14">
        <v>9700</v>
      </c>
      <c r="F90" s="14"/>
    </row>
    <row r="91" spans="1:6" x14ac:dyDescent="0.3">
      <c r="A91" s="71" t="s">
        <v>418</v>
      </c>
      <c r="B91" s="72">
        <v>1020</v>
      </c>
      <c r="C91" s="72">
        <f>B91*1.7</f>
        <v>1734</v>
      </c>
      <c r="D91" s="72">
        <v>1700</v>
      </c>
      <c r="E91" s="83"/>
      <c r="F91" s="14"/>
    </row>
    <row r="92" spans="1:6" x14ac:dyDescent="0.3">
      <c r="A92" s="34" t="s">
        <v>616</v>
      </c>
      <c r="B92" s="35">
        <v>300</v>
      </c>
      <c r="C92" s="35">
        <f>B92*1.8</f>
        <v>540</v>
      </c>
      <c r="D92" s="35">
        <v>550</v>
      </c>
      <c r="E92" s="73">
        <v>4500</v>
      </c>
      <c r="F92" s="73"/>
    </row>
    <row r="93" spans="1:6" x14ac:dyDescent="0.3">
      <c r="A93" s="34" t="s">
        <v>617</v>
      </c>
      <c r="B93" s="35">
        <v>500</v>
      </c>
      <c r="C93" s="35">
        <f>B93*1.7</f>
        <v>850</v>
      </c>
      <c r="D93" s="35">
        <v>900</v>
      </c>
      <c r="E93" s="73"/>
      <c r="F93" s="73"/>
    </row>
    <row r="94" spans="1:6" x14ac:dyDescent="0.3">
      <c r="A94" s="34" t="s">
        <v>618</v>
      </c>
      <c r="B94" s="35">
        <v>1200</v>
      </c>
      <c r="C94" s="35">
        <f>B94*1.6</f>
        <v>1920</v>
      </c>
      <c r="D94" s="35">
        <v>1950</v>
      </c>
      <c r="E94" s="73">
        <v>4500</v>
      </c>
      <c r="F94" s="73"/>
    </row>
    <row r="95" spans="1:6" x14ac:dyDescent="0.3">
      <c r="A95" s="48" t="s">
        <v>419</v>
      </c>
      <c r="B95" s="49">
        <v>915</v>
      </c>
      <c r="C95" s="49">
        <f>B95*1.6</f>
        <v>1464</v>
      </c>
      <c r="D95" s="49">
        <v>1500</v>
      </c>
      <c r="E95" s="105">
        <v>19240</v>
      </c>
      <c r="F95" s="105"/>
    </row>
    <row r="96" spans="1:6" x14ac:dyDescent="0.3">
      <c r="A96" s="54" t="s">
        <v>517</v>
      </c>
      <c r="B96" s="55">
        <v>1250</v>
      </c>
      <c r="C96" s="55">
        <f>B96*1.6</f>
        <v>2000</v>
      </c>
      <c r="D96" s="55">
        <v>2000</v>
      </c>
      <c r="E96" s="93"/>
      <c r="F96" s="93"/>
    </row>
    <row r="97" spans="1:6" x14ac:dyDescent="0.3">
      <c r="A97" s="54" t="s">
        <v>516</v>
      </c>
      <c r="B97" s="55">
        <v>530</v>
      </c>
      <c r="C97" s="55">
        <f>B97*1.8</f>
        <v>954</v>
      </c>
      <c r="D97" s="55">
        <v>950</v>
      </c>
      <c r="E97" s="93">
        <v>12000</v>
      </c>
      <c r="F97" s="93"/>
    </row>
    <row r="98" spans="1:6" x14ac:dyDescent="0.3">
      <c r="A98" s="64" t="s">
        <v>1260</v>
      </c>
      <c r="B98" s="65">
        <v>1950</v>
      </c>
      <c r="C98" s="65">
        <f>B98*1.5</f>
        <v>2925</v>
      </c>
      <c r="D98" s="65">
        <v>2900</v>
      </c>
      <c r="E98" s="108"/>
      <c r="F98" s="108"/>
    </row>
    <row r="99" spans="1:6" x14ac:dyDescent="0.3">
      <c r="A99" s="64" t="s">
        <v>1259</v>
      </c>
      <c r="B99" s="65">
        <v>1000</v>
      </c>
      <c r="C99" s="65">
        <f>B99*1.6</f>
        <v>1600</v>
      </c>
      <c r="D99" s="65">
        <v>1600</v>
      </c>
      <c r="E99" s="108">
        <v>19000</v>
      </c>
      <c r="F99" s="108"/>
    </row>
    <row r="100" spans="1:6" x14ac:dyDescent="0.3">
      <c r="A100" s="6" t="s">
        <v>422</v>
      </c>
      <c r="B100" s="7">
        <v>3180</v>
      </c>
      <c r="C100" s="7">
        <f>B100*1.45</f>
        <v>4611</v>
      </c>
      <c r="D100" s="7">
        <v>4600</v>
      </c>
      <c r="E100" s="14"/>
      <c r="F100" s="14"/>
    </row>
    <row r="101" spans="1:6" x14ac:dyDescent="0.3">
      <c r="A101" s="6" t="s">
        <v>421</v>
      </c>
      <c r="B101" s="7">
        <v>1900</v>
      </c>
      <c r="C101" s="35">
        <f>B101*1.5</f>
        <v>2850</v>
      </c>
      <c r="D101" s="7">
        <v>2850</v>
      </c>
      <c r="E101" s="14"/>
      <c r="F101" s="14"/>
    </row>
    <row r="102" spans="1:6" x14ac:dyDescent="0.3">
      <c r="A102" s="6" t="s">
        <v>420</v>
      </c>
      <c r="B102" s="7">
        <v>680</v>
      </c>
      <c r="C102" s="7">
        <f>B102*1.7</f>
        <v>1156</v>
      </c>
      <c r="D102" s="7">
        <v>1150</v>
      </c>
      <c r="E102" s="14">
        <v>12530</v>
      </c>
      <c r="F102" s="14"/>
    </row>
    <row r="103" spans="1:6" x14ac:dyDescent="0.3">
      <c r="A103" s="6" t="s">
        <v>515</v>
      </c>
      <c r="B103" s="7">
        <v>712</v>
      </c>
      <c r="C103" s="35">
        <f>B103*1.7</f>
        <v>1210.3999999999999</v>
      </c>
      <c r="D103" s="7">
        <v>1250</v>
      </c>
      <c r="E103" s="14">
        <v>16570</v>
      </c>
      <c r="F103" s="14"/>
    </row>
    <row r="104" spans="1:6" x14ac:dyDescent="0.3">
      <c r="A104" s="54" t="s">
        <v>806</v>
      </c>
      <c r="B104" s="55">
        <v>2050</v>
      </c>
      <c r="C104" s="55">
        <f>B104*1.5</f>
        <v>3075</v>
      </c>
      <c r="D104" s="55">
        <v>3100</v>
      </c>
      <c r="E104" s="93"/>
      <c r="F104" s="14"/>
    </row>
    <row r="105" spans="1:6" x14ac:dyDescent="0.3">
      <c r="A105" s="54" t="s">
        <v>805</v>
      </c>
      <c r="B105" s="55">
        <v>450</v>
      </c>
      <c r="C105" s="55">
        <f>B105*1.7</f>
        <v>765</v>
      </c>
      <c r="D105" s="55">
        <v>800</v>
      </c>
      <c r="E105" s="93">
        <v>8050</v>
      </c>
      <c r="F105" s="14"/>
    </row>
    <row r="106" spans="1:6" x14ac:dyDescent="0.3">
      <c r="A106" s="6" t="s">
        <v>439</v>
      </c>
      <c r="B106" s="7">
        <v>1010</v>
      </c>
      <c r="C106" s="7">
        <f>B106*1.6</f>
        <v>1616</v>
      </c>
      <c r="D106" s="7">
        <v>1650</v>
      </c>
      <c r="E106" s="14"/>
      <c r="F106" s="14"/>
    </row>
    <row r="107" spans="1:6" x14ac:dyDescent="0.3">
      <c r="A107" s="6" t="s">
        <v>438</v>
      </c>
      <c r="B107" s="7">
        <v>530</v>
      </c>
      <c r="C107" s="7">
        <f>B107*1.7</f>
        <v>901</v>
      </c>
      <c r="D107" s="7">
        <v>900</v>
      </c>
      <c r="E107" s="14">
        <v>9600</v>
      </c>
      <c r="F107" s="14"/>
    </row>
    <row r="108" spans="1:6" x14ac:dyDescent="0.3">
      <c r="A108" s="6" t="s">
        <v>28</v>
      </c>
      <c r="B108" s="7">
        <v>550</v>
      </c>
      <c r="C108" s="35">
        <f>B108*1.8</f>
        <v>990</v>
      </c>
      <c r="D108" s="7">
        <v>1000</v>
      </c>
      <c r="E108" s="14"/>
      <c r="F108" s="14"/>
    </row>
    <row r="109" spans="1:6" x14ac:dyDescent="0.3">
      <c r="A109" s="6" t="s">
        <v>1167</v>
      </c>
      <c r="B109" s="7">
        <v>840</v>
      </c>
      <c r="C109" s="7">
        <f>B109*1.6</f>
        <v>1344</v>
      </c>
      <c r="D109" s="7">
        <v>1350</v>
      </c>
      <c r="E109" s="14"/>
      <c r="F109" s="14"/>
    </row>
    <row r="110" spans="1:6" x14ac:dyDescent="0.3">
      <c r="A110" s="6" t="s">
        <v>1166</v>
      </c>
      <c r="B110" s="7">
        <v>366</v>
      </c>
      <c r="C110" s="35">
        <f>B110*1.8</f>
        <v>658.80000000000007</v>
      </c>
      <c r="D110" s="7">
        <v>650</v>
      </c>
      <c r="E110" s="14">
        <v>7910</v>
      </c>
      <c r="F110" s="14"/>
    </row>
    <row r="111" spans="1:6" x14ac:dyDescent="0.3">
      <c r="C111" s="7">
        <f t="shared" ref="C111:C119" si="1">B111*1.6</f>
        <v>0</v>
      </c>
      <c r="E111" s="14"/>
      <c r="F111" s="14"/>
    </row>
    <row r="112" spans="1:6" x14ac:dyDescent="0.3">
      <c r="C112" s="7">
        <f t="shared" si="1"/>
        <v>0</v>
      </c>
      <c r="E112" s="14"/>
      <c r="F112" s="14"/>
    </row>
    <row r="113" spans="3:6" x14ac:dyDescent="0.3">
      <c r="C113" s="7">
        <f t="shared" si="1"/>
        <v>0</v>
      </c>
      <c r="E113" s="14"/>
      <c r="F113" s="14"/>
    </row>
    <row r="114" spans="3:6" x14ac:dyDescent="0.3">
      <c r="C114" s="7">
        <f t="shared" si="1"/>
        <v>0</v>
      </c>
      <c r="E114" s="14"/>
      <c r="F114" s="14"/>
    </row>
    <row r="115" spans="3:6" x14ac:dyDescent="0.3">
      <c r="C115" s="7">
        <f t="shared" si="1"/>
        <v>0</v>
      </c>
      <c r="E115" s="14"/>
      <c r="F115" s="14"/>
    </row>
    <row r="116" spans="3:6" x14ac:dyDescent="0.3">
      <c r="C116" s="7">
        <f t="shared" si="1"/>
        <v>0</v>
      </c>
      <c r="E116" s="14"/>
      <c r="F116" s="14"/>
    </row>
    <row r="117" spans="3:6" x14ac:dyDescent="0.3">
      <c r="C117" s="7">
        <f t="shared" si="1"/>
        <v>0</v>
      </c>
      <c r="E117" s="14"/>
      <c r="F117" s="14"/>
    </row>
    <row r="118" spans="3:6" x14ac:dyDescent="0.3">
      <c r="C118" s="7">
        <f t="shared" si="1"/>
        <v>0</v>
      </c>
      <c r="E118" s="14"/>
      <c r="F118" s="14"/>
    </row>
    <row r="119" spans="3:6" x14ac:dyDescent="0.3">
      <c r="C119" s="7">
        <f t="shared" si="1"/>
        <v>0</v>
      </c>
      <c r="E119" s="14"/>
      <c r="F119" s="14"/>
    </row>
  </sheetData>
  <sortState xmlns:xlrd2="http://schemas.microsoft.com/office/spreadsheetml/2017/richdata2" ref="A2:D16">
    <sortCondition ref="A2:A16"/>
  </sortState>
  <phoneticPr fontId="5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03ABD-EB5E-465B-8A1B-F1E71B5F5080}">
  <sheetPr codeName="Hoja6"/>
  <dimension ref="A1:F79"/>
  <sheetViews>
    <sheetView workbookViewId="0">
      <selection activeCell="A2" sqref="A2:A78 D2:D78"/>
    </sheetView>
  </sheetViews>
  <sheetFormatPr baseColWidth="10" defaultRowHeight="14.4" x14ac:dyDescent="0.3"/>
  <cols>
    <col min="1" max="1" width="65" style="6" customWidth="1"/>
    <col min="2" max="2" width="15.44140625" style="7" customWidth="1"/>
    <col min="3" max="3" width="20.6640625" style="7" customWidth="1"/>
    <col min="4" max="4" width="16.5546875" style="7" customWidth="1"/>
    <col min="5" max="5" width="12" bestFit="1" customWidth="1"/>
  </cols>
  <sheetData>
    <row r="1" spans="1:5" x14ac:dyDescent="0.3">
      <c r="A1" s="10" t="s">
        <v>0</v>
      </c>
      <c r="B1" s="11" t="s">
        <v>7</v>
      </c>
      <c r="C1" s="11" t="s">
        <v>1</v>
      </c>
      <c r="D1" s="11" t="s">
        <v>2</v>
      </c>
      <c r="E1" s="23" t="s">
        <v>29</v>
      </c>
    </row>
    <row r="2" spans="1:5" x14ac:dyDescent="0.3">
      <c r="A2" s="54" t="s">
        <v>530</v>
      </c>
      <c r="B2" s="55">
        <v>5300</v>
      </c>
      <c r="C2" s="55">
        <f>B2*1.6</f>
        <v>8480</v>
      </c>
      <c r="D2" s="55">
        <v>8500</v>
      </c>
      <c r="E2" s="93"/>
    </row>
    <row r="3" spans="1:5" x14ac:dyDescent="0.3">
      <c r="A3" s="6" t="s">
        <v>529</v>
      </c>
      <c r="B3" s="7">
        <v>6000</v>
      </c>
      <c r="C3" s="7">
        <f>B3*1.5</f>
        <v>9000</v>
      </c>
      <c r="D3" s="7">
        <v>9000</v>
      </c>
      <c r="E3" s="14"/>
    </row>
    <row r="4" spans="1:5" x14ac:dyDescent="0.3">
      <c r="A4" s="6" t="s">
        <v>446</v>
      </c>
      <c r="B4" s="7">
        <v>3221</v>
      </c>
      <c r="C4" s="7">
        <f>B4*1.6</f>
        <v>5153.6000000000004</v>
      </c>
      <c r="D4" s="7">
        <v>5200</v>
      </c>
      <c r="E4" s="14"/>
    </row>
    <row r="5" spans="1:5" x14ac:dyDescent="0.3">
      <c r="A5" s="6" t="s">
        <v>957</v>
      </c>
      <c r="B5" s="7">
        <v>6400</v>
      </c>
      <c r="C5" s="7">
        <f>B5*1.6</f>
        <v>10240</v>
      </c>
      <c r="D5" s="7">
        <v>10500</v>
      </c>
      <c r="E5" s="14"/>
    </row>
    <row r="6" spans="1:5" x14ac:dyDescent="0.3">
      <c r="A6" s="6" t="s">
        <v>689</v>
      </c>
      <c r="B6" s="7">
        <v>3500</v>
      </c>
      <c r="C6" s="7">
        <f>B6*1.7</f>
        <v>5950</v>
      </c>
      <c r="D6" s="7">
        <v>5900</v>
      </c>
      <c r="E6" s="14"/>
    </row>
    <row r="7" spans="1:5" x14ac:dyDescent="0.3">
      <c r="A7" s="6" t="s">
        <v>582</v>
      </c>
      <c r="B7" s="7">
        <v>3100</v>
      </c>
      <c r="C7" s="7">
        <f>B7*1.5</f>
        <v>4650</v>
      </c>
      <c r="D7" s="7">
        <v>4500</v>
      </c>
      <c r="E7" s="14"/>
    </row>
    <row r="8" spans="1:5" x14ac:dyDescent="0.3">
      <c r="A8" s="6" t="s">
        <v>579</v>
      </c>
      <c r="B8" s="7">
        <v>3850</v>
      </c>
      <c r="C8" s="7">
        <f>B8*1.7</f>
        <v>6545</v>
      </c>
      <c r="D8" s="7">
        <v>6600</v>
      </c>
      <c r="E8" s="14"/>
    </row>
    <row r="9" spans="1:5" x14ac:dyDescent="0.3">
      <c r="A9" s="6" t="s">
        <v>580</v>
      </c>
      <c r="B9" s="7">
        <v>5800</v>
      </c>
      <c r="C9" s="7">
        <f>B9*1.4</f>
        <v>8119.9999999999991</v>
      </c>
      <c r="D9" s="7">
        <v>8500</v>
      </c>
      <c r="E9" s="14"/>
    </row>
    <row r="10" spans="1:5" x14ac:dyDescent="0.3">
      <c r="A10" s="6" t="s">
        <v>581</v>
      </c>
      <c r="B10" s="7">
        <v>4000</v>
      </c>
      <c r="C10" s="7">
        <f>B10*1.5</f>
        <v>6000</v>
      </c>
      <c r="D10" s="7">
        <v>6300</v>
      </c>
      <c r="E10" s="14"/>
    </row>
    <row r="11" spans="1:5" x14ac:dyDescent="0.3">
      <c r="A11" s="6" t="s">
        <v>959</v>
      </c>
      <c r="B11" s="7">
        <v>3855</v>
      </c>
      <c r="C11" s="7">
        <f>B11*1.7</f>
        <v>6553.5</v>
      </c>
      <c r="D11" s="7">
        <v>6500</v>
      </c>
      <c r="E11" s="14"/>
    </row>
    <row r="12" spans="1:5" x14ac:dyDescent="0.3">
      <c r="A12" s="6" t="s">
        <v>123</v>
      </c>
      <c r="B12" s="7">
        <v>3100</v>
      </c>
      <c r="C12" s="7">
        <f>B12*1.3</f>
        <v>4030</v>
      </c>
      <c r="D12" s="7">
        <v>4000</v>
      </c>
      <c r="E12" s="14"/>
    </row>
    <row r="13" spans="1:5" x14ac:dyDescent="0.3">
      <c r="A13" s="6" t="s">
        <v>894</v>
      </c>
      <c r="B13" s="7">
        <v>6600</v>
      </c>
      <c r="C13" s="7">
        <f>B13*1.5</f>
        <v>9900</v>
      </c>
      <c r="D13" s="7">
        <v>9900</v>
      </c>
      <c r="E13" s="14"/>
    </row>
    <row r="14" spans="1:5" x14ac:dyDescent="0.3">
      <c r="A14" s="71" t="s">
        <v>584</v>
      </c>
      <c r="B14" s="72">
        <v>5680</v>
      </c>
      <c r="C14" s="72">
        <f>B14*1.6</f>
        <v>9088</v>
      </c>
      <c r="D14" s="72">
        <v>9100</v>
      </c>
      <c r="E14" s="83"/>
    </row>
    <row r="15" spans="1:5" x14ac:dyDescent="0.3">
      <c r="A15" s="71" t="s">
        <v>583</v>
      </c>
      <c r="B15" s="72">
        <v>10770</v>
      </c>
      <c r="C15" s="72">
        <f>B15*1.6</f>
        <v>17232</v>
      </c>
      <c r="D15" s="72">
        <v>17200</v>
      </c>
      <c r="E15" s="83"/>
    </row>
    <row r="16" spans="1:5" x14ac:dyDescent="0.3">
      <c r="A16" s="48" t="s">
        <v>1320</v>
      </c>
      <c r="B16" s="49">
        <v>7360</v>
      </c>
      <c r="C16" s="49">
        <f>B16*1.6</f>
        <v>11776</v>
      </c>
      <c r="D16" s="49">
        <v>11900</v>
      </c>
      <c r="E16" s="105"/>
    </row>
    <row r="17" spans="1:5" x14ac:dyDescent="0.3">
      <c r="A17" s="52" t="s">
        <v>1323</v>
      </c>
      <c r="B17" s="53">
        <v>13200</v>
      </c>
      <c r="C17" s="53">
        <f>B17*1.6</f>
        <v>21120</v>
      </c>
      <c r="D17" s="53">
        <v>19800</v>
      </c>
      <c r="E17" s="95"/>
    </row>
    <row r="18" spans="1:5" x14ac:dyDescent="0.3">
      <c r="A18" s="48" t="s">
        <v>1322</v>
      </c>
      <c r="B18" s="49">
        <v>14170</v>
      </c>
      <c r="C18" s="49">
        <f>B18*1.5</f>
        <v>21255</v>
      </c>
      <c r="D18" s="49">
        <v>22300</v>
      </c>
      <c r="E18" s="105"/>
    </row>
    <row r="19" spans="1:5" x14ac:dyDescent="0.3">
      <c r="A19" s="52" t="s">
        <v>1321</v>
      </c>
      <c r="B19" s="53">
        <v>14600</v>
      </c>
      <c r="C19" s="53">
        <f>B19*1.6</f>
        <v>23360</v>
      </c>
      <c r="D19" s="53">
        <v>23300</v>
      </c>
      <c r="E19" s="95"/>
    </row>
    <row r="20" spans="1:5" x14ac:dyDescent="0.3">
      <c r="A20" s="74" t="s">
        <v>956</v>
      </c>
      <c r="B20" s="75">
        <v>6750</v>
      </c>
      <c r="C20" s="75">
        <f>B20*1.7</f>
        <v>11475</v>
      </c>
      <c r="D20" s="75">
        <v>11500</v>
      </c>
      <c r="E20" s="224"/>
    </row>
    <row r="21" spans="1:5" x14ac:dyDescent="0.3">
      <c r="A21" s="34" t="s">
        <v>1324</v>
      </c>
      <c r="B21" s="35">
        <v>7900</v>
      </c>
      <c r="C21" s="35">
        <f>B21*1.5</f>
        <v>11850</v>
      </c>
      <c r="D21" s="35">
        <v>11900</v>
      </c>
      <c r="E21" s="73"/>
    </row>
    <row r="22" spans="1:5" x14ac:dyDescent="0.3">
      <c r="A22" s="34" t="s">
        <v>895</v>
      </c>
      <c r="B22" s="35">
        <v>13800</v>
      </c>
      <c r="C22" s="35">
        <f>B22*1.5</f>
        <v>20700</v>
      </c>
      <c r="D22" s="35">
        <v>20700</v>
      </c>
      <c r="E22" s="73"/>
    </row>
    <row r="23" spans="1:5" x14ac:dyDescent="0.3">
      <c r="A23" s="34" t="s">
        <v>1066</v>
      </c>
      <c r="B23" s="35">
        <v>8850</v>
      </c>
      <c r="C23" s="35">
        <f>B23*1.5</f>
        <v>13275</v>
      </c>
      <c r="D23" s="35">
        <v>13300</v>
      </c>
      <c r="E23" s="73"/>
    </row>
    <row r="24" spans="1:5" x14ac:dyDescent="0.3">
      <c r="A24" s="34" t="s">
        <v>1065</v>
      </c>
      <c r="B24" s="35">
        <v>13800</v>
      </c>
      <c r="C24" s="35">
        <f>B24*1.6</f>
        <v>22080</v>
      </c>
      <c r="D24" s="35">
        <v>20700</v>
      </c>
      <c r="E24" s="73"/>
    </row>
    <row r="25" spans="1:5" x14ac:dyDescent="0.3">
      <c r="A25" s="54" t="s">
        <v>445</v>
      </c>
      <c r="B25" s="55">
        <v>4140</v>
      </c>
      <c r="C25" s="55">
        <f>B25*1.6</f>
        <v>6624</v>
      </c>
      <c r="D25" s="55">
        <v>6600</v>
      </c>
      <c r="E25" s="93"/>
    </row>
    <row r="26" spans="1:5" x14ac:dyDescent="0.3">
      <c r="A26" s="6" t="s">
        <v>528</v>
      </c>
      <c r="B26" s="7">
        <v>4365</v>
      </c>
      <c r="C26" s="7">
        <f>B26*1.6</f>
        <v>6984</v>
      </c>
      <c r="D26" s="7">
        <v>6900</v>
      </c>
      <c r="E26" s="14"/>
    </row>
    <row r="27" spans="1:5" x14ac:dyDescent="0.3">
      <c r="A27" s="6" t="s">
        <v>455</v>
      </c>
      <c r="B27" s="7">
        <v>2850</v>
      </c>
      <c r="C27" s="7">
        <f>B27*1.3</f>
        <v>3705</v>
      </c>
      <c r="D27" s="7">
        <v>3700</v>
      </c>
      <c r="E27" s="14"/>
    </row>
    <row r="28" spans="1:5" x14ac:dyDescent="0.3">
      <c r="A28" s="6" t="s">
        <v>456</v>
      </c>
      <c r="B28" s="7">
        <v>2150</v>
      </c>
      <c r="C28" s="7">
        <f>B28*1.3</f>
        <v>2795</v>
      </c>
      <c r="D28" s="7">
        <v>2900</v>
      </c>
      <c r="E28" s="14"/>
    </row>
    <row r="29" spans="1:5" x14ac:dyDescent="0.3">
      <c r="A29" s="6" t="s">
        <v>105</v>
      </c>
      <c r="B29" s="7">
        <v>808</v>
      </c>
      <c r="C29" s="7">
        <f>B29*1.8</f>
        <v>1454.4</v>
      </c>
      <c r="D29" s="7">
        <v>2800</v>
      </c>
      <c r="E29" s="14"/>
    </row>
    <row r="30" spans="1:5" x14ac:dyDescent="0.3">
      <c r="A30" s="6" t="s">
        <v>624</v>
      </c>
      <c r="B30" s="7">
        <v>1700</v>
      </c>
      <c r="C30" s="7">
        <f>B30*1.7</f>
        <v>2890</v>
      </c>
      <c r="D30" s="7">
        <v>2800</v>
      </c>
      <c r="E30" s="14"/>
    </row>
    <row r="31" spans="1:5" x14ac:dyDescent="0.3">
      <c r="A31" s="6" t="s">
        <v>625</v>
      </c>
      <c r="B31" s="7">
        <v>1600</v>
      </c>
      <c r="C31" s="7">
        <f>B31*1.6</f>
        <v>2560</v>
      </c>
      <c r="D31" s="7">
        <v>2600</v>
      </c>
      <c r="E31" s="14"/>
    </row>
    <row r="32" spans="1:5" x14ac:dyDescent="0.3">
      <c r="A32" s="6" t="s">
        <v>923</v>
      </c>
      <c r="B32" s="7">
        <v>2800</v>
      </c>
      <c r="C32" s="7">
        <f>B32*1.5</f>
        <v>4200</v>
      </c>
      <c r="D32" s="7">
        <v>4500</v>
      </c>
      <c r="E32" s="14"/>
    </row>
    <row r="33" spans="1:5" x14ac:dyDescent="0.3">
      <c r="A33" s="6" t="s">
        <v>924</v>
      </c>
      <c r="B33" s="7">
        <v>3800</v>
      </c>
      <c r="C33" s="7">
        <f>B33*1.5</f>
        <v>5700</v>
      </c>
      <c r="D33" s="7">
        <v>5500</v>
      </c>
      <c r="E33" s="14"/>
    </row>
    <row r="34" spans="1:5" x14ac:dyDescent="0.3">
      <c r="A34" s="6" t="s">
        <v>1382</v>
      </c>
      <c r="B34" s="7">
        <v>4700</v>
      </c>
      <c r="C34" s="7">
        <f>B34*1.6</f>
        <v>7520</v>
      </c>
      <c r="D34" s="7">
        <v>7500</v>
      </c>
      <c r="E34" s="14"/>
    </row>
    <row r="35" spans="1:5" x14ac:dyDescent="0.3">
      <c r="A35" s="21" t="s">
        <v>443</v>
      </c>
      <c r="B35" s="22">
        <v>3950</v>
      </c>
      <c r="C35" s="7">
        <f>B35*1.5</f>
        <v>5925</v>
      </c>
      <c r="D35" s="22">
        <v>5900</v>
      </c>
      <c r="E35" s="24"/>
    </row>
    <row r="36" spans="1:5" x14ac:dyDescent="0.3">
      <c r="A36" s="6" t="s">
        <v>1126</v>
      </c>
      <c r="B36" s="7">
        <v>1430</v>
      </c>
      <c r="C36" s="7">
        <f>B36*1.7</f>
        <v>2431</v>
      </c>
      <c r="D36" s="7">
        <v>2400</v>
      </c>
      <c r="E36" s="14"/>
    </row>
    <row r="37" spans="1:5" x14ac:dyDescent="0.3">
      <c r="A37" s="6" t="s">
        <v>1330</v>
      </c>
      <c r="B37" s="7">
        <v>4470</v>
      </c>
      <c r="C37" s="7">
        <f>B37*1.6</f>
        <v>7152</v>
      </c>
      <c r="D37" s="7">
        <v>7200</v>
      </c>
      <c r="E37" s="14"/>
    </row>
    <row r="38" spans="1:5" x14ac:dyDescent="0.3">
      <c r="A38" s="6" t="s">
        <v>623</v>
      </c>
      <c r="B38" s="7">
        <v>1650</v>
      </c>
      <c r="C38" s="7">
        <f>B38*1.5</f>
        <v>2475</v>
      </c>
      <c r="D38" s="7">
        <v>2400</v>
      </c>
      <c r="E38" s="14"/>
    </row>
    <row r="39" spans="1:5" x14ac:dyDescent="0.3">
      <c r="A39" s="6" t="s">
        <v>1086</v>
      </c>
      <c r="B39" s="7">
        <v>3200</v>
      </c>
      <c r="C39" s="7">
        <f>B39*1.5</f>
        <v>4800</v>
      </c>
      <c r="D39" s="7">
        <v>4800</v>
      </c>
      <c r="E39" s="14"/>
    </row>
    <row r="40" spans="1:5" x14ac:dyDescent="0.3">
      <c r="A40" s="6" t="s">
        <v>591</v>
      </c>
      <c r="B40" s="7">
        <v>3920</v>
      </c>
      <c r="C40" s="7">
        <f>B40*1.6</f>
        <v>6272</v>
      </c>
      <c r="D40" s="7">
        <v>6200</v>
      </c>
      <c r="E40" s="14"/>
    </row>
    <row r="41" spans="1:5" x14ac:dyDescent="0.3">
      <c r="A41" s="21" t="s">
        <v>238</v>
      </c>
      <c r="B41" s="22">
        <v>4250</v>
      </c>
      <c r="C41" s="7">
        <f>B41*1.7</f>
        <v>7225</v>
      </c>
      <c r="D41" s="22">
        <v>7600</v>
      </c>
      <c r="E41" s="14"/>
    </row>
    <row r="42" spans="1:5" x14ac:dyDescent="0.3">
      <c r="A42" s="6" t="s">
        <v>239</v>
      </c>
      <c r="B42" s="7">
        <v>4250</v>
      </c>
      <c r="C42" s="7">
        <f>B42*1.8</f>
        <v>7650</v>
      </c>
      <c r="D42" s="7">
        <v>7600</v>
      </c>
      <c r="E42" s="14"/>
    </row>
    <row r="43" spans="1:5" x14ac:dyDescent="0.3">
      <c r="A43" s="6" t="s">
        <v>106</v>
      </c>
      <c r="B43" s="7">
        <v>3150</v>
      </c>
      <c r="C43" s="7">
        <f>B43*1.5</f>
        <v>4725</v>
      </c>
      <c r="D43" s="7">
        <v>4800</v>
      </c>
      <c r="E43" s="14"/>
    </row>
    <row r="44" spans="1:5" x14ac:dyDescent="0.3">
      <c r="A44" s="6" t="s">
        <v>124</v>
      </c>
      <c r="B44" s="7">
        <v>4800</v>
      </c>
      <c r="C44" s="7">
        <f>B44*1.4</f>
        <v>6720</v>
      </c>
      <c r="D44" s="7">
        <v>6700</v>
      </c>
      <c r="E44" s="14"/>
    </row>
    <row r="45" spans="1:5" x14ac:dyDescent="0.3">
      <c r="A45" s="6" t="s">
        <v>159</v>
      </c>
      <c r="B45" s="7">
        <v>5660</v>
      </c>
      <c r="C45" s="7">
        <f>B45*1.4</f>
        <v>7923.9999999999991</v>
      </c>
      <c r="D45" s="7">
        <v>7900</v>
      </c>
      <c r="E45" s="14"/>
    </row>
    <row r="46" spans="1:5" x14ac:dyDescent="0.3">
      <c r="A46" s="6" t="s">
        <v>483</v>
      </c>
      <c r="B46" s="7">
        <v>400</v>
      </c>
      <c r="C46" s="7">
        <f>B46*1.6</f>
        <v>640</v>
      </c>
      <c r="D46" s="7">
        <v>900</v>
      </c>
      <c r="E46" s="14"/>
    </row>
    <row r="47" spans="1:5" x14ac:dyDescent="0.3">
      <c r="A47" s="64" t="s">
        <v>1112</v>
      </c>
      <c r="B47" s="65">
        <v>3890</v>
      </c>
      <c r="C47" s="65">
        <f>B47*1.6</f>
        <v>6224</v>
      </c>
      <c r="D47" s="65">
        <v>6300</v>
      </c>
      <c r="E47" s="108"/>
    </row>
    <row r="48" spans="1:5" x14ac:dyDescent="0.3">
      <c r="A48" s="64" t="s">
        <v>1111</v>
      </c>
      <c r="B48" s="65">
        <v>4700</v>
      </c>
      <c r="C48" s="65">
        <f>B48*1.6</f>
        <v>7520</v>
      </c>
      <c r="D48" s="65">
        <v>7500</v>
      </c>
      <c r="E48" s="108"/>
    </row>
    <row r="49" spans="1:6" x14ac:dyDescent="0.3">
      <c r="A49" s="6" t="s">
        <v>1110</v>
      </c>
      <c r="B49" s="7">
        <v>7730</v>
      </c>
      <c r="C49" s="7">
        <f>B49*1.6</f>
        <v>12368</v>
      </c>
      <c r="D49" s="7">
        <v>12500</v>
      </c>
      <c r="E49" s="14"/>
    </row>
    <row r="50" spans="1:6" x14ac:dyDescent="0.3">
      <c r="A50" s="6" t="s">
        <v>626</v>
      </c>
      <c r="B50" s="7">
        <v>1300</v>
      </c>
      <c r="C50" s="7">
        <f>B50*1.6</f>
        <v>2080</v>
      </c>
      <c r="D50" s="7">
        <v>2100</v>
      </c>
      <c r="E50" s="14"/>
    </row>
    <row r="51" spans="1:6" x14ac:dyDescent="0.3">
      <c r="A51" s="54" t="s">
        <v>856</v>
      </c>
      <c r="B51" s="55">
        <v>1950</v>
      </c>
      <c r="C51" s="55">
        <f>B51*1.4</f>
        <v>2730</v>
      </c>
      <c r="D51" s="55">
        <v>2750</v>
      </c>
      <c r="E51" s="93">
        <v>1900</v>
      </c>
    </row>
    <row r="52" spans="1:6" x14ac:dyDescent="0.3">
      <c r="A52" s="71" t="s">
        <v>27</v>
      </c>
      <c r="B52" s="72">
        <v>550</v>
      </c>
      <c r="C52" s="72">
        <f>B52*1.8</f>
        <v>990</v>
      </c>
      <c r="D52" s="72">
        <v>1000</v>
      </c>
      <c r="E52" s="83"/>
    </row>
    <row r="53" spans="1:6" x14ac:dyDescent="0.3">
      <c r="A53" s="71" t="s">
        <v>855</v>
      </c>
      <c r="B53" s="72">
        <v>525</v>
      </c>
      <c r="C53" s="72">
        <f>B53*1.6</f>
        <v>840</v>
      </c>
      <c r="D53" s="72">
        <v>850</v>
      </c>
      <c r="E53" s="83"/>
    </row>
    <row r="54" spans="1:6" x14ac:dyDescent="0.3">
      <c r="A54" s="54" t="s">
        <v>854</v>
      </c>
      <c r="B54" s="55">
        <v>1000</v>
      </c>
      <c r="C54" s="55">
        <f>B54*1.5</f>
        <v>1500</v>
      </c>
      <c r="D54" s="55">
        <v>1500</v>
      </c>
      <c r="E54" s="93"/>
    </row>
    <row r="55" spans="1:6" x14ac:dyDescent="0.3">
      <c r="A55" s="6" t="s">
        <v>1156</v>
      </c>
      <c r="B55" s="7">
        <v>1400</v>
      </c>
      <c r="C55" s="7">
        <f>B55*1.6</f>
        <v>2240</v>
      </c>
      <c r="D55" s="7">
        <v>2300</v>
      </c>
      <c r="E55" s="14"/>
    </row>
    <row r="56" spans="1:6" x14ac:dyDescent="0.3">
      <c r="A56" s="6" t="s">
        <v>1134</v>
      </c>
      <c r="B56" s="7">
        <v>1200</v>
      </c>
      <c r="C56" s="7">
        <f>B56*1.7</f>
        <v>2040</v>
      </c>
      <c r="D56" s="7">
        <v>2200</v>
      </c>
      <c r="E56" s="14"/>
    </row>
    <row r="57" spans="1:6" x14ac:dyDescent="0.3">
      <c r="A57" s="6" t="s">
        <v>644</v>
      </c>
      <c r="B57" s="7">
        <v>1700</v>
      </c>
      <c r="C57" s="7">
        <f>B57*1.6</f>
        <v>2720</v>
      </c>
      <c r="D57" s="7">
        <v>2700</v>
      </c>
      <c r="E57" s="14"/>
    </row>
    <row r="58" spans="1:6" x14ac:dyDescent="0.3">
      <c r="A58" s="6" t="s">
        <v>457</v>
      </c>
      <c r="B58" s="7">
        <v>1050</v>
      </c>
      <c r="C58" s="7">
        <f>B58*1.7</f>
        <v>1785</v>
      </c>
      <c r="D58" s="7">
        <v>1800</v>
      </c>
      <c r="E58" s="14"/>
    </row>
    <row r="59" spans="1:6" x14ac:dyDescent="0.3">
      <c r="A59" s="6" t="s">
        <v>1158</v>
      </c>
      <c r="B59" s="7">
        <v>2000</v>
      </c>
      <c r="C59" s="7">
        <f>B59*1.7</f>
        <v>3400</v>
      </c>
      <c r="D59" s="7">
        <v>3400</v>
      </c>
      <c r="E59" s="14"/>
      <c r="F59" s="14"/>
    </row>
    <row r="60" spans="1:6" x14ac:dyDescent="0.3">
      <c r="A60" s="6" t="s">
        <v>1157</v>
      </c>
      <c r="B60" s="7">
        <v>2780</v>
      </c>
      <c r="C60" s="7">
        <f>B60*1.6</f>
        <v>4448</v>
      </c>
      <c r="D60" s="7">
        <v>4500</v>
      </c>
      <c r="E60" s="14"/>
      <c r="F60" s="14"/>
    </row>
    <row r="61" spans="1:6" x14ac:dyDescent="0.3">
      <c r="A61" s="6" t="s">
        <v>999</v>
      </c>
      <c r="B61" s="7">
        <v>2940</v>
      </c>
      <c r="C61" s="7">
        <f>B61*1.6</f>
        <v>4704</v>
      </c>
      <c r="D61" s="7">
        <v>4500</v>
      </c>
      <c r="E61" s="14"/>
      <c r="F61" s="14"/>
    </row>
    <row r="62" spans="1:6" x14ac:dyDescent="0.3">
      <c r="A62" s="6" t="s">
        <v>998</v>
      </c>
      <c r="B62" s="7">
        <v>2180</v>
      </c>
      <c r="C62" s="7">
        <f>B62*1.6</f>
        <v>3488</v>
      </c>
      <c r="D62" s="7">
        <v>3700</v>
      </c>
      <c r="E62" s="14"/>
      <c r="F62" s="14"/>
    </row>
    <row r="63" spans="1:6" x14ac:dyDescent="0.3">
      <c r="A63" s="6" t="s">
        <v>594</v>
      </c>
      <c r="B63" s="7">
        <v>2180</v>
      </c>
      <c r="C63" s="7">
        <f>B63*1.7</f>
        <v>3706</v>
      </c>
      <c r="D63" s="7">
        <v>3700</v>
      </c>
      <c r="E63" s="14"/>
    </row>
    <row r="64" spans="1:6" x14ac:dyDescent="0.3">
      <c r="A64" s="6" t="s">
        <v>237</v>
      </c>
      <c r="B64" s="7">
        <v>1000</v>
      </c>
      <c r="C64" s="7">
        <f>B64*1.7</f>
        <v>1700</v>
      </c>
      <c r="D64" s="7">
        <v>1700</v>
      </c>
      <c r="E64" s="14"/>
    </row>
    <row r="65" spans="1:5" x14ac:dyDescent="0.3">
      <c r="A65" s="21" t="s">
        <v>236</v>
      </c>
      <c r="B65" s="22">
        <v>2460</v>
      </c>
      <c r="C65" s="7">
        <f>B65*1.6</f>
        <v>3936</v>
      </c>
      <c r="D65" s="22">
        <v>3900</v>
      </c>
      <c r="E65" s="14"/>
    </row>
    <row r="66" spans="1:5" x14ac:dyDescent="0.3">
      <c r="A66" s="6" t="s">
        <v>240</v>
      </c>
      <c r="B66" s="7">
        <v>2300</v>
      </c>
      <c r="C66" s="7">
        <f>B66*1.6</f>
        <v>3680</v>
      </c>
      <c r="D66" s="7">
        <v>3600</v>
      </c>
      <c r="E66" s="14"/>
    </row>
    <row r="67" spans="1:5" x14ac:dyDescent="0.3">
      <c r="A67" s="6" t="s">
        <v>962</v>
      </c>
      <c r="B67" s="7">
        <v>1500</v>
      </c>
      <c r="C67" s="7">
        <f>B67*1.7</f>
        <v>2550</v>
      </c>
      <c r="D67" s="7">
        <v>2700</v>
      </c>
      <c r="E67" s="14"/>
    </row>
    <row r="68" spans="1:5" x14ac:dyDescent="0.3">
      <c r="A68" s="6" t="s">
        <v>247</v>
      </c>
      <c r="B68" s="7">
        <v>3880</v>
      </c>
      <c r="C68" s="7">
        <f>B68*1.6</f>
        <v>6208</v>
      </c>
      <c r="D68" s="7">
        <v>6200</v>
      </c>
      <c r="E68" s="14"/>
    </row>
    <row r="69" spans="1:5" x14ac:dyDescent="0.3">
      <c r="A69" s="6" t="s">
        <v>241</v>
      </c>
      <c r="B69" s="7">
        <v>1150</v>
      </c>
      <c r="C69" s="7">
        <f>B69*1.5</f>
        <v>1725</v>
      </c>
      <c r="D69" s="7">
        <v>2900</v>
      </c>
      <c r="E69" s="14"/>
    </row>
    <row r="70" spans="1:5" x14ac:dyDescent="0.3">
      <c r="A70" s="21" t="s">
        <v>338</v>
      </c>
      <c r="B70" s="22">
        <v>2700</v>
      </c>
      <c r="C70" s="7">
        <f>B70*1.7</f>
        <v>4590</v>
      </c>
      <c r="D70" s="22">
        <v>4500</v>
      </c>
      <c r="E70" s="24"/>
    </row>
    <row r="71" spans="1:5" x14ac:dyDescent="0.3">
      <c r="A71" s="6" t="s">
        <v>474</v>
      </c>
      <c r="B71" s="7">
        <v>6800</v>
      </c>
      <c r="C71" s="7">
        <f>B71*1.5</f>
        <v>10200</v>
      </c>
      <c r="D71" s="7">
        <v>10500</v>
      </c>
      <c r="E71" s="14"/>
    </row>
    <row r="72" spans="1:5" x14ac:dyDescent="0.3">
      <c r="A72" s="6" t="s">
        <v>896</v>
      </c>
      <c r="B72" s="7">
        <v>5230</v>
      </c>
      <c r="C72" s="7">
        <f>B72*1.5</f>
        <v>7845</v>
      </c>
      <c r="D72" s="7">
        <v>7800</v>
      </c>
      <c r="E72" s="14"/>
    </row>
    <row r="73" spans="1:5" x14ac:dyDescent="0.3">
      <c r="A73" s="6" t="s">
        <v>1329</v>
      </c>
      <c r="B73" s="7">
        <v>4400</v>
      </c>
      <c r="C73" s="7">
        <f>B73*1.6</f>
        <v>7040</v>
      </c>
      <c r="D73" s="7">
        <v>6900</v>
      </c>
      <c r="E73" s="14"/>
    </row>
    <row r="74" spans="1:5" x14ac:dyDescent="0.3">
      <c r="A74" s="6" t="s">
        <v>1331</v>
      </c>
      <c r="B74" s="7">
        <v>3950</v>
      </c>
      <c r="C74" s="7">
        <f>B74*1.6</f>
        <v>6320</v>
      </c>
      <c r="D74" s="7">
        <v>6300</v>
      </c>
      <c r="E74" s="14"/>
    </row>
    <row r="75" spans="1:5" x14ac:dyDescent="0.3">
      <c r="C75" s="7">
        <f>B75*1.8</f>
        <v>0</v>
      </c>
      <c r="E75" s="14"/>
    </row>
    <row r="76" spans="1:5" x14ac:dyDescent="0.3">
      <c r="C76" s="7">
        <f>B76*1.8</f>
        <v>0</v>
      </c>
      <c r="E76" s="14"/>
    </row>
    <row r="77" spans="1:5" x14ac:dyDescent="0.3">
      <c r="C77" s="7">
        <f>B77*1.8</f>
        <v>0</v>
      </c>
      <c r="E77" s="14"/>
    </row>
    <row r="78" spans="1:5" x14ac:dyDescent="0.3">
      <c r="C78" s="7">
        <f>B78*1.8</f>
        <v>0</v>
      </c>
      <c r="E78" s="14"/>
    </row>
    <row r="79" spans="1:5" x14ac:dyDescent="0.3">
      <c r="C79" s="7">
        <f>B79*1.8</f>
        <v>0</v>
      </c>
      <c r="E79" s="14"/>
    </row>
  </sheetData>
  <sortState xmlns:xlrd2="http://schemas.microsoft.com/office/spreadsheetml/2017/richdata2" ref="A2:D31">
    <sortCondition ref="A2:A31"/>
  </sortState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10145-98EA-4B0C-8FCB-5995666FE905}">
  <sheetPr codeName="Hoja7"/>
  <dimension ref="A1:D75"/>
  <sheetViews>
    <sheetView workbookViewId="0">
      <selection activeCell="A2" sqref="A2:A74 D2:D74"/>
    </sheetView>
  </sheetViews>
  <sheetFormatPr baseColWidth="10" defaultRowHeight="14.4" x14ac:dyDescent="0.3"/>
  <cols>
    <col min="1" max="1" width="81.6640625" customWidth="1"/>
    <col min="2" max="2" width="19.88671875" style="1" customWidth="1"/>
    <col min="3" max="3" width="20.6640625" style="2" customWidth="1"/>
    <col min="4" max="4" width="16.5546875" style="1" customWidth="1"/>
  </cols>
  <sheetData>
    <row r="1" spans="1:4" x14ac:dyDescent="0.3">
      <c r="A1" s="6" t="s">
        <v>9</v>
      </c>
      <c r="B1" s="7" t="s">
        <v>10</v>
      </c>
      <c r="C1" s="7" t="s">
        <v>1</v>
      </c>
      <c r="D1" s="7" t="s">
        <v>2</v>
      </c>
    </row>
    <row r="2" spans="1:4" x14ac:dyDescent="0.3">
      <c r="A2" s="6" t="s">
        <v>1020</v>
      </c>
      <c r="B2" s="7">
        <v>1950</v>
      </c>
      <c r="C2" s="7">
        <f>B2*1.6</f>
        <v>3120</v>
      </c>
      <c r="D2" s="7">
        <v>3200</v>
      </c>
    </row>
    <row r="3" spans="1:4" x14ac:dyDescent="0.3">
      <c r="A3" s="6" t="s">
        <v>176</v>
      </c>
      <c r="B3" s="7">
        <v>1390</v>
      </c>
      <c r="C3" s="7">
        <f>B3*1.6</f>
        <v>2224</v>
      </c>
      <c r="D3" s="7">
        <v>2300</v>
      </c>
    </row>
    <row r="4" spans="1:4" x14ac:dyDescent="0.3">
      <c r="A4" s="6" t="s">
        <v>134</v>
      </c>
      <c r="B4" s="7">
        <v>1661</v>
      </c>
      <c r="C4" s="7">
        <f>B4*1.6</f>
        <v>2657.6000000000004</v>
      </c>
      <c r="D4" s="7">
        <v>2650</v>
      </c>
    </row>
    <row r="5" spans="1:4" x14ac:dyDescent="0.3">
      <c r="A5" s="6" t="s">
        <v>135</v>
      </c>
      <c r="B5" s="7">
        <v>2160</v>
      </c>
      <c r="C5" s="7">
        <f>B5*1.6</f>
        <v>3456</v>
      </c>
      <c r="D5" s="7">
        <v>3450</v>
      </c>
    </row>
    <row r="6" spans="1:4" x14ac:dyDescent="0.3">
      <c r="A6" s="6" t="s">
        <v>1016</v>
      </c>
      <c r="B6" s="7">
        <v>1900</v>
      </c>
      <c r="C6" s="7">
        <f>B6*1.7</f>
        <v>3230</v>
      </c>
      <c r="D6" s="7">
        <v>3300</v>
      </c>
    </row>
    <row r="7" spans="1:4" x14ac:dyDescent="0.3">
      <c r="A7" s="6" t="s">
        <v>1018</v>
      </c>
      <c r="B7" s="7">
        <v>1350</v>
      </c>
      <c r="C7" s="7">
        <f>B7*1.7</f>
        <v>2295</v>
      </c>
      <c r="D7" s="7">
        <v>2300</v>
      </c>
    </row>
    <row r="8" spans="1:4" x14ac:dyDescent="0.3">
      <c r="A8" s="6" t="s">
        <v>270</v>
      </c>
      <c r="B8" s="7">
        <v>1300</v>
      </c>
      <c r="C8" s="7">
        <f>B8*1.6</f>
        <v>2080</v>
      </c>
      <c r="D8" s="7">
        <v>2100</v>
      </c>
    </row>
    <row r="9" spans="1:4" x14ac:dyDescent="0.3">
      <c r="A9" s="6" t="s">
        <v>1019</v>
      </c>
      <c r="B9" s="7">
        <v>1150</v>
      </c>
      <c r="C9" s="7">
        <f>B9*1.7</f>
        <v>1955</v>
      </c>
      <c r="D9" s="7">
        <v>1900</v>
      </c>
    </row>
    <row r="10" spans="1:4" x14ac:dyDescent="0.3">
      <c r="A10" s="6" t="s">
        <v>1017</v>
      </c>
      <c r="B10" s="7">
        <v>990</v>
      </c>
      <c r="C10" s="7">
        <f>B10*1.7</f>
        <v>1683</v>
      </c>
      <c r="D10" s="7">
        <v>1900</v>
      </c>
    </row>
    <row r="11" spans="1:4" x14ac:dyDescent="0.3">
      <c r="A11" s="6" t="s">
        <v>120</v>
      </c>
      <c r="B11" s="7">
        <v>1529</v>
      </c>
      <c r="C11" s="7">
        <f>B11*1.8</f>
        <v>2752.2000000000003</v>
      </c>
      <c r="D11" s="7">
        <v>2900</v>
      </c>
    </row>
    <row r="12" spans="1:4" x14ac:dyDescent="0.3">
      <c r="A12" s="6" t="s">
        <v>961</v>
      </c>
      <c r="B12" s="7">
        <v>1200</v>
      </c>
      <c r="C12" s="7">
        <f>B12*1.7</f>
        <v>2040</v>
      </c>
      <c r="D12" s="7">
        <v>2000</v>
      </c>
    </row>
    <row r="13" spans="1:4" x14ac:dyDescent="0.3">
      <c r="A13" s="6" t="s">
        <v>960</v>
      </c>
      <c r="B13" s="7">
        <v>2410</v>
      </c>
      <c r="C13" s="7">
        <f>B13*1.6</f>
        <v>3856</v>
      </c>
      <c r="D13" s="7">
        <v>3900</v>
      </c>
    </row>
    <row r="14" spans="1:4" x14ac:dyDescent="0.3">
      <c r="A14" s="54" t="s">
        <v>1131</v>
      </c>
      <c r="B14" s="55">
        <v>2000</v>
      </c>
      <c r="C14" s="55">
        <f>B14*1.5</f>
        <v>3000</v>
      </c>
      <c r="D14" s="55">
        <v>3000</v>
      </c>
    </row>
    <row r="15" spans="1:4" x14ac:dyDescent="0.3">
      <c r="A15" s="71" t="s">
        <v>1132</v>
      </c>
      <c r="B15" s="72">
        <v>2000</v>
      </c>
      <c r="C15" s="72">
        <f>B15*1.5</f>
        <v>3000</v>
      </c>
      <c r="D15" s="72">
        <v>3000</v>
      </c>
    </row>
    <row r="16" spans="1:4" x14ac:dyDescent="0.3">
      <c r="A16" s="71" t="s">
        <v>1133</v>
      </c>
      <c r="B16" s="72">
        <v>1800</v>
      </c>
      <c r="C16" s="72">
        <f>B16*1.5</f>
        <v>2700</v>
      </c>
      <c r="D16" s="72">
        <v>3000</v>
      </c>
    </row>
    <row r="17" spans="1:4" x14ac:dyDescent="0.3">
      <c r="A17" s="6" t="s">
        <v>462</v>
      </c>
      <c r="B17" s="7">
        <v>1350</v>
      </c>
      <c r="C17" s="7">
        <f>B17*1.65</f>
        <v>2227.5</v>
      </c>
      <c r="D17" s="7">
        <v>2250</v>
      </c>
    </row>
    <row r="18" spans="1:4" x14ac:dyDescent="0.3">
      <c r="A18" s="6" t="s">
        <v>1130</v>
      </c>
      <c r="B18" s="7">
        <v>1800</v>
      </c>
      <c r="C18" s="7">
        <f>B18*1.7</f>
        <v>3060</v>
      </c>
      <c r="D18" s="7">
        <v>3000</v>
      </c>
    </row>
    <row r="19" spans="1:4" x14ac:dyDescent="0.3">
      <c r="A19" s="6"/>
      <c r="B19" s="7"/>
      <c r="C19" s="7">
        <f>B19*1.8</f>
        <v>0</v>
      </c>
      <c r="D19" s="7"/>
    </row>
    <row r="20" spans="1:4" x14ac:dyDescent="0.3">
      <c r="A20" s="6"/>
      <c r="B20" s="7"/>
      <c r="C20" s="7">
        <f>B20*1.8</f>
        <v>0</v>
      </c>
      <c r="D20" s="7"/>
    </row>
    <row r="21" spans="1:4" x14ac:dyDescent="0.3">
      <c r="A21" s="6"/>
      <c r="B21" s="7"/>
      <c r="C21" s="7">
        <f>B21*1.8</f>
        <v>0</v>
      </c>
      <c r="D21" s="7"/>
    </row>
    <row r="22" spans="1:4" x14ac:dyDescent="0.3">
      <c r="A22" s="6"/>
      <c r="B22" s="7"/>
      <c r="C22" s="7">
        <f>B22*1.8</f>
        <v>0</v>
      </c>
      <c r="D22" s="7"/>
    </row>
    <row r="23" spans="1:4" x14ac:dyDescent="0.3">
      <c r="A23" s="6"/>
      <c r="B23" s="7"/>
      <c r="C23" s="7"/>
      <c r="D23" s="7"/>
    </row>
    <row r="24" spans="1:4" x14ac:dyDescent="0.3">
      <c r="A24" s="6"/>
      <c r="B24" s="7"/>
      <c r="C24" s="7">
        <f>B24*1.8</f>
        <v>0</v>
      </c>
      <c r="D24" s="7"/>
    </row>
    <row r="25" spans="1:4" x14ac:dyDescent="0.3">
      <c r="A25" s="6"/>
      <c r="B25" s="7"/>
      <c r="C25" s="7">
        <f t="shared" ref="C25:C40" si="0">B25*1.6</f>
        <v>0</v>
      </c>
      <c r="D25" s="7"/>
    </row>
    <row r="26" spans="1:4" x14ac:dyDescent="0.3">
      <c r="A26" s="6"/>
      <c r="B26" s="7"/>
      <c r="C26" s="7">
        <f t="shared" si="0"/>
        <v>0</v>
      </c>
      <c r="D26" s="7"/>
    </row>
    <row r="27" spans="1:4" x14ac:dyDescent="0.3">
      <c r="A27" s="6"/>
      <c r="B27" s="7"/>
      <c r="C27" s="7">
        <f t="shared" si="0"/>
        <v>0</v>
      </c>
      <c r="D27" s="7"/>
    </row>
    <row r="28" spans="1:4" x14ac:dyDescent="0.3">
      <c r="A28" s="6"/>
      <c r="B28" s="7"/>
      <c r="C28" s="7">
        <f t="shared" si="0"/>
        <v>0</v>
      </c>
      <c r="D28" s="7"/>
    </row>
    <row r="29" spans="1:4" x14ac:dyDescent="0.3">
      <c r="A29" s="6"/>
      <c r="B29" s="7"/>
      <c r="C29" s="7">
        <f t="shared" si="0"/>
        <v>0</v>
      </c>
      <c r="D29" s="7"/>
    </row>
    <row r="30" spans="1:4" x14ac:dyDescent="0.3">
      <c r="A30" s="6"/>
      <c r="B30" s="7"/>
      <c r="C30" s="7">
        <f t="shared" si="0"/>
        <v>0</v>
      </c>
      <c r="D30" s="7"/>
    </row>
    <row r="31" spans="1:4" x14ac:dyDescent="0.3">
      <c r="A31" s="6"/>
      <c r="B31" s="7"/>
      <c r="C31" s="7">
        <f t="shared" si="0"/>
        <v>0</v>
      </c>
      <c r="D31" s="7"/>
    </row>
    <row r="32" spans="1:4" x14ac:dyDescent="0.3">
      <c r="A32" s="6"/>
      <c r="B32" s="7"/>
      <c r="C32" s="7">
        <f t="shared" si="0"/>
        <v>0</v>
      </c>
      <c r="D32" s="7"/>
    </row>
    <row r="33" spans="1:4" x14ac:dyDescent="0.3">
      <c r="A33" s="6"/>
      <c r="B33" s="7"/>
      <c r="C33" s="7">
        <f t="shared" si="0"/>
        <v>0</v>
      </c>
      <c r="D33" s="7"/>
    </row>
    <row r="34" spans="1:4" x14ac:dyDescent="0.3">
      <c r="A34" s="6"/>
      <c r="B34" s="7"/>
      <c r="C34" s="7">
        <f t="shared" si="0"/>
        <v>0</v>
      </c>
      <c r="D34" s="7"/>
    </row>
    <row r="35" spans="1:4" x14ac:dyDescent="0.3">
      <c r="A35" s="6"/>
      <c r="B35" s="7"/>
      <c r="C35" s="7">
        <f t="shared" si="0"/>
        <v>0</v>
      </c>
      <c r="D35" s="7"/>
    </row>
    <row r="36" spans="1:4" x14ac:dyDescent="0.3">
      <c r="A36" s="6"/>
      <c r="B36" s="7"/>
      <c r="C36" s="7">
        <f t="shared" si="0"/>
        <v>0</v>
      </c>
      <c r="D36" s="7"/>
    </row>
    <row r="37" spans="1:4" x14ac:dyDescent="0.3">
      <c r="A37" s="6"/>
      <c r="B37" s="7"/>
      <c r="C37" s="7">
        <f t="shared" si="0"/>
        <v>0</v>
      </c>
      <c r="D37" s="7"/>
    </row>
    <row r="38" spans="1:4" x14ac:dyDescent="0.3">
      <c r="A38" s="6"/>
      <c r="B38" s="7"/>
      <c r="C38" s="7">
        <f t="shared" si="0"/>
        <v>0</v>
      </c>
      <c r="D38" s="7"/>
    </row>
    <row r="39" spans="1:4" x14ac:dyDescent="0.3">
      <c r="A39" s="6"/>
      <c r="B39" s="7"/>
      <c r="C39" s="7">
        <f t="shared" si="0"/>
        <v>0</v>
      </c>
      <c r="D39" s="7"/>
    </row>
    <row r="40" spans="1:4" x14ac:dyDescent="0.3">
      <c r="A40" s="6"/>
      <c r="B40" s="7"/>
      <c r="C40" s="7">
        <f t="shared" si="0"/>
        <v>0</v>
      </c>
      <c r="D40" s="7"/>
    </row>
    <row r="41" spans="1:4" x14ac:dyDescent="0.3">
      <c r="A41" s="6"/>
      <c r="B41" s="7"/>
      <c r="C41" s="7"/>
      <c r="D41" s="7"/>
    </row>
    <row r="42" spans="1:4" x14ac:dyDescent="0.3">
      <c r="A42" s="6"/>
      <c r="B42" s="7"/>
      <c r="C42" s="7"/>
      <c r="D42" s="7"/>
    </row>
    <row r="43" spans="1:4" x14ac:dyDescent="0.3">
      <c r="A43" s="6"/>
      <c r="B43" s="7"/>
      <c r="C43" s="7"/>
      <c r="D43" s="7"/>
    </row>
    <row r="44" spans="1:4" x14ac:dyDescent="0.3">
      <c r="A44" s="6"/>
      <c r="B44" s="7"/>
      <c r="C44" s="7"/>
      <c r="D44" s="7"/>
    </row>
    <row r="45" spans="1:4" x14ac:dyDescent="0.3">
      <c r="A45" s="6"/>
      <c r="B45" s="7"/>
      <c r="C45" s="7"/>
      <c r="D45" s="7"/>
    </row>
    <row r="46" spans="1:4" x14ac:dyDescent="0.3">
      <c r="A46" s="6"/>
      <c r="B46" s="7"/>
      <c r="C46" s="7"/>
      <c r="D46" s="7"/>
    </row>
    <row r="47" spans="1:4" x14ac:dyDescent="0.3">
      <c r="A47" s="6"/>
      <c r="B47" s="7"/>
      <c r="C47" s="7"/>
      <c r="D47" s="7"/>
    </row>
    <row r="48" spans="1:4" x14ac:dyDescent="0.3">
      <c r="A48" s="6"/>
      <c r="B48" s="7"/>
      <c r="C48" s="7"/>
      <c r="D48" s="7"/>
    </row>
    <row r="49" spans="1:4" x14ac:dyDescent="0.3">
      <c r="A49" s="6"/>
      <c r="B49" s="7"/>
      <c r="C49" s="7"/>
      <c r="D49" s="7"/>
    </row>
    <row r="50" spans="1:4" x14ac:dyDescent="0.3">
      <c r="A50" s="6"/>
      <c r="B50" s="7"/>
      <c r="C50" s="7"/>
      <c r="D50" s="7"/>
    </row>
    <row r="51" spans="1:4" x14ac:dyDescent="0.3">
      <c r="A51" s="6"/>
      <c r="B51" s="7"/>
      <c r="C51" s="7"/>
      <c r="D51" s="7"/>
    </row>
    <row r="52" spans="1:4" x14ac:dyDescent="0.3">
      <c r="A52" s="6"/>
      <c r="B52" s="7"/>
      <c r="C52" s="7"/>
      <c r="D52" s="7"/>
    </row>
    <row r="53" spans="1:4" x14ac:dyDescent="0.3">
      <c r="A53" s="6"/>
      <c r="B53" s="7"/>
      <c r="C53" s="7"/>
      <c r="D53" s="7"/>
    </row>
    <row r="54" spans="1:4" x14ac:dyDescent="0.3">
      <c r="A54" s="6"/>
      <c r="B54" s="7"/>
      <c r="C54" s="7"/>
      <c r="D54" s="7"/>
    </row>
    <row r="55" spans="1:4" x14ac:dyDescent="0.3">
      <c r="A55" s="6"/>
      <c r="B55" s="7"/>
      <c r="C55" s="7"/>
      <c r="D55" s="7"/>
    </row>
    <row r="56" spans="1:4" x14ac:dyDescent="0.3">
      <c r="A56" s="6"/>
      <c r="B56" s="7"/>
      <c r="C56" s="7"/>
      <c r="D56" s="7"/>
    </row>
    <row r="57" spans="1:4" x14ac:dyDescent="0.3">
      <c r="A57" s="6"/>
      <c r="B57" s="7"/>
      <c r="C57" s="7"/>
      <c r="D57" s="7"/>
    </row>
    <row r="58" spans="1:4" x14ac:dyDescent="0.3">
      <c r="A58" s="6"/>
      <c r="B58" s="7"/>
      <c r="C58" s="7"/>
      <c r="D58" s="7"/>
    </row>
    <row r="59" spans="1:4" x14ac:dyDescent="0.3">
      <c r="A59" s="6"/>
      <c r="B59" s="7"/>
      <c r="C59" s="7"/>
      <c r="D59" s="7"/>
    </row>
    <row r="60" spans="1:4" x14ac:dyDescent="0.3">
      <c r="A60" s="6"/>
      <c r="B60" s="7"/>
      <c r="C60" s="7"/>
      <c r="D60" s="7"/>
    </row>
    <row r="61" spans="1:4" x14ac:dyDescent="0.3">
      <c r="A61" s="6"/>
      <c r="B61" s="7"/>
      <c r="C61" s="7"/>
      <c r="D61" s="7"/>
    </row>
    <row r="62" spans="1:4" x14ac:dyDescent="0.3">
      <c r="A62" s="6"/>
      <c r="B62" s="7"/>
      <c r="C62" s="7"/>
      <c r="D62" s="7"/>
    </row>
    <row r="63" spans="1:4" x14ac:dyDescent="0.3">
      <c r="A63" s="6"/>
      <c r="B63" s="7"/>
      <c r="C63" s="7"/>
      <c r="D63" s="7"/>
    </row>
    <row r="64" spans="1:4" x14ac:dyDescent="0.3">
      <c r="A64" s="6"/>
      <c r="B64" s="7"/>
      <c r="C64" s="7"/>
      <c r="D64" s="7"/>
    </row>
    <row r="65" spans="1:4" x14ac:dyDescent="0.3">
      <c r="A65" s="6"/>
      <c r="B65" s="7"/>
      <c r="C65" s="7"/>
      <c r="D65" s="7"/>
    </row>
    <row r="66" spans="1:4" x14ac:dyDescent="0.3">
      <c r="A66" s="6"/>
      <c r="B66" s="7"/>
      <c r="C66" s="7"/>
      <c r="D66" s="7"/>
    </row>
    <row r="67" spans="1:4" x14ac:dyDescent="0.3">
      <c r="A67" s="6"/>
      <c r="B67" s="7"/>
      <c r="C67" s="7"/>
      <c r="D67" s="7"/>
    </row>
    <row r="68" spans="1:4" x14ac:dyDescent="0.3">
      <c r="A68" s="6"/>
      <c r="B68" s="7"/>
      <c r="C68" s="7"/>
      <c r="D68" s="7"/>
    </row>
    <row r="69" spans="1:4" x14ac:dyDescent="0.3">
      <c r="A69" s="6"/>
      <c r="B69" s="7"/>
      <c r="C69" s="7"/>
      <c r="D69" s="7"/>
    </row>
    <row r="70" spans="1:4" x14ac:dyDescent="0.3">
      <c r="A70" s="6"/>
      <c r="B70" s="7"/>
      <c r="C70" s="7"/>
      <c r="D70" s="7"/>
    </row>
    <row r="71" spans="1:4" x14ac:dyDescent="0.3">
      <c r="A71" s="6"/>
      <c r="B71" s="7"/>
      <c r="C71" s="7"/>
      <c r="D71" s="7"/>
    </row>
    <row r="72" spans="1:4" x14ac:dyDescent="0.3">
      <c r="A72" s="6"/>
      <c r="B72" s="7"/>
      <c r="C72" s="7"/>
      <c r="D72" s="7"/>
    </row>
    <row r="73" spans="1:4" x14ac:dyDescent="0.3">
      <c r="A73" s="6"/>
      <c r="B73" s="7"/>
      <c r="C73" s="7"/>
      <c r="D73" s="7"/>
    </row>
    <row r="74" spans="1:4" x14ac:dyDescent="0.3">
      <c r="A74" s="6"/>
      <c r="B74" s="7"/>
      <c r="C74" s="7"/>
      <c r="D74" s="7"/>
    </row>
    <row r="75" spans="1:4" x14ac:dyDescent="0.3">
      <c r="A75" s="6"/>
      <c r="B75" s="7"/>
      <c r="C75" s="7"/>
      <c r="D75" s="7"/>
    </row>
  </sheetData>
  <sortState xmlns:xlrd2="http://schemas.microsoft.com/office/spreadsheetml/2017/richdata2" ref="A2:D20">
    <sortCondition ref="A2:A20"/>
  </sortState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83F00-9F25-4667-9D40-5160C5A60F1B}">
  <sheetPr codeName="Hoja8"/>
  <dimension ref="A1:E109"/>
  <sheetViews>
    <sheetView workbookViewId="0">
      <selection activeCell="A2" sqref="A2:A217 D2:D217"/>
    </sheetView>
  </sheetViews>
  <sheetFormatPr baseColWidth="10" defaultRowHeight="14.4" x14ac:dyDescent="0.3"/>
  <cols>
    <col min="1" max="1" width="64.88671875" style="6" customWidth="1"/>
    <col min="2" max="2" width="16.44140625" style="6" bestFit="1" customWidth="1"/>
    <col min="3" max="3" width="21.6640625" style="7" customWidth="1"/>
    <col min="4" max="4" width="20.6640625" style="7" customWidth="1"/>
    <col min="5" max="5" width="19" style="7" bestFit="1" customWidth="1"/>
  </cols>
  <sheetData>
    <row r="1" spans="1:5" x14ac:dyDescent="0.3">
      <c r="A1" s="4" t="s">
        <v>0</v>
      </c>
      <c r="B1" s="5" t="s">
        <v>7</v>
      </c>
      <c r="C1" s="5" t="s">
        <v>1</v>
      </c>
      <c r="D1" s="5" t="s">
        <v>2</v>
      </c>
      <c r="E1" s="5" t="s">
        <v>43</v>
      </c>
    </row>
    <row r="2" spans="1:5" x14ac:dyDescent="0.3">
      <c r="A2" s="6" t="s">
        <v>546</v>
      </c>
      <c r="B2" s="7">
        <v>1180</v>
      </c>
      <c r="C2" s="7">
        <f>B2*1.6</f>
        <v>1888</v>
      </c>
      <c r="D2" s="7">
        <v>1900</v>
      </c>
    </row>
    <row r="3" spans="1:5" x14ac:dyDescent="0.3">
      <c r="A3" s="34" t="s">
        <v>1037</v>
      </c>
      <c r="B3" s="35">
        <v>1450</v>
      </c>
      <c r="C3" s="35">
        <f>B3*1.6</f>
        <v>2320</v>
      </c>
      <c r="D3" s="35">
        <v>2300</v>
      </c>
      <c r="E3" s="73">
        <v>1400</v>
      </c>
    </row>
    <row r="4" spans="1:5" x14ac:dyDescent="0.3">
      <c r="A4" s="34" t="s">
        <v>1038</v>
      </c>
      <c r="B4" s="34">
        <v>750</v>
      </c>
      <c r="C4" s="35">
        <f>B4*1.7</f>
        <v>1275</v>
      </c>
      <c r="D4" s="35">
        <v>1250</v>
      </c>
      <c r="E4" s="35"/>
    </row>
    <row r="5" spans="1:5" x14ac:dyDescent="0.3">
      <c r="A5" s="98" t="s">
        <v>694</v>
      </c>
      <c r="B5" s="98">
        <v>3050</v>
      </c>
      <c r="C5" s="99">
        <f>B5*1.4</f>
        <v>4270</v>
      </c>
      <c r="D5" s="99">
        <v>4270</v>
      </c>
      <c r="E5" s="99"/>
    </row>
    <row r="6" spans="1:5" x14ac:dyDescent="0.3">
      <c r="A6" s="98" t="s">
        <v>878</v>
      </c>
      <c r="B6" s="99">
        <v>490</v>
      </c>
      <c r="C6" s="99">
        <f>B6*1.7</f>
        <v>833</v>
      </c>
      <c r="D6" s="99">
        <v>800</v>
      </c>
      <c r="E6" s="115">
        <v>3000</v>
      </c>
    </row>
    <row r="7" spans="1:5" x14ac:dyDescent="0.3">
      <c r="A7" s="98" t="s">
        <v>695</v>
      </c>
      <c r="B7" s="98">
        <v>800</v>
      </c>
      <c r="C7" s="99">
        <f>B7*1.6</f>
        <v>1280</v>
      </c>
      <c r="D7" s="99">
        <v>1300</v>
      </c>
      <c r="E7" s="99"/>
    </row>
    <row r="8" spans="1:5" x14ac:dyDescent="0.3">
      <c r="A8" s="98" t="s">
        <v>696</v>
      </c>
      <c r="B8" s="98">
        <v>1560</v>
      </c>
      <c r="C8" s="99">
        <f>B8*1.5</f>
        <v>2340</v>
      </c>
      <c r="D8" s="99">
        <v>2350</v>
      </c>
      <c r="E8" s="99"/>
    </row>
    <row r="9" spans="1:5" x14ac:dyDescent="0.3">
      <c r="A9" s="6" t="s">
        <v>697</v>
      </c>
      <c r="B9" s="7">
        <v>280</v>
      </c>
      <c r="C9" s="7">
        <f>B9*1.8</f>
        <v>504</v>
      </c>
      <c r="D9" s="7">
        <v>500</v>
      </c>
      <c r="E9" s="14"/>
    </row>
    <row r="10" spans="1:5" x14ac:dyDescent="0.3">
      <c r="A10" s="34" t="s">
        <v>1168</v>
      </c>
      <c r="B10" s="223">
        <v>1400</v>
      </c>
      <c r="C10" s="35">
        <f>B10*1.5</f>
        <v>2100</v>
      </c>
      <c r="D10" s="223">
        <v>2100</v>
      </c>
      <c r="E10" s="35">
        <v>1350</v>
      </c>
    </row>
    <row r="11" spans="1:5" x14ac:dyDescent="0.3">
      <c r="A11" s="66" t="s">
        <v>1170</v>
      </c>
      <c r="B11" s="67">
        <v>400</v>
      </c>
      <c r="C11" s="67">
        <f>B11*1.7</f>
        <v>680</v>
      </c>
      <c r="D11" s="67">
        <v>700</v>
      </c>
      <c r="E11" s="119"/>
    </row>
    <row r="12" spans="1:5" x14ac:dyDescent="0.3">
      <c r="A12" s="34" t="s">
        <v>1169</v>
      </c>
      <c r="B12" s="35">
        <v>725</v>
      </c>
      <c r="C12" s="35">
        <f>B12*1.6</f>
        <v>1160</v>
      </c>
      <c r="D12" s="35">
        <v>1150</v>
      </c>
      <c r="E12" s="73"/>
    </row>
    <row r="13" spans="1:5" x14ac:dyDescent="0.3">
      <c r="A13" s="48" t="s">
        <v>423</v>
      </c>
      <c r="B13" s="48">
        <v>2000</v>
      </c>
      <c r="C13" s="49">
        <f>B13*1.5</f>
        <v>3000</v>
      </c>
      <c r="D13" s="49">
        <v>3000</v>
      </c>
      <c r="E13" s="49">
        <v>1920</v>
      </c>
    </row>
    <row r="14" spans="1:5" x14ac:dyDescent="0.3">
      <c r="A14" s="48" t="s">
        <v>424</v>
      </c>
      <c r="B14" s="49">
        <v>1000</v>
      </c>
      <c r="C14" s="49">
        <f>B14*1.6</f>
        <v>1600</v>
      </c>
      <c r="D14" s="49">
        <v>1600</v>
      </c>
      <c r="E14" s="105"/>
    </row>
    <row r="15" spans="1:5" x14ac:dyDescent="0.3">
      <c r="A15" s="71" t="s">
        <v>1113</v>
      </c>
      <c r="B15" s="71">
        <v>1550</v>
      </c>
      <c r="C15" s="72">
        <f>B15*1.5</f>
        <v>2325</v>
      </c>
      <c r="D15" s="72">
        <v>2300</v>
      </c>
      <c r="E15" s="72">
        <v>1500</v>
      </c>
    </row>
    <row r="16" spans="1:5" x14ac:dyDescent="0.3">
      <c r="A16" s="54" t="s">
        <v>1114</v>
      </c>
      <c r="B16" s="55">
        <v>420</v>
      </c>
      <c r="C16" s="55">
        <f>B16*1.8</f>
        <v>756</v>
      </c>
      <c r="D16" s="55">
        <v>750</v>
      </c>
      <c r="E16" s="93"/>
    </row>
    <row r="17" spans="1:5" x14ac:dyDescent="0.3">
      <c r="A17" s="71" t="s">
        <v>1115</v>
      </c>
      <c r="B17" s="71">
        <v>800</v>
      </c>
      <c r="C17" s="72">
        <f>B17*1.6</f>
        <v>1280</v>
      </c>
      <c r="D17" s="72">
        <v>1300</v>
      </c>
      <c r="E17" s="72"/>
    </row>
    <row r="18" spans="1:5" x14ac:dyDescent="0.3">
      <c r="A18" s="90" t="s">
        <v>271</v>
      </c>
      <c r="B18" s="91">
        <v>2400</v>
      </c>
      <c r="C18" s="91">
        <f>B18*1.6</f>
        <v>3840</v>
      </c>
      <c r="D18" s="91">
        <v>3800</v>
      </c>
      <c r="E18" s="107"/>
    </row>
    <row r="19" spans="1:5" x14ac:dyDescent="0.3">
      <c r="A19" s="90" t="s">
        <v>272</v>
      </c>
      <c r="B19" s="90">
        <v>1200</v>
      </c>
      <c r="C19" s="91">
        <f>B19*1.7</f>
        <v>2040</v>
      </c>
      <c r="D19" s="91">
        <v>2000</v>
      </c>
      <c r="E19" s="91"/>
    </row>
    <row r="20" spans="1:5" x14ac:dyDescent="0.3">
      <c r="A20" s="71" t="s">
        <v>1286</v>
      </c>
      <c r="B20" s="71">
        <v>2050</v>
      </c>
      <c r="C20" s="91">
        <f>B20*1.6</f>
        <v>3280</v>
      </c>
      <c r="D20" s="72">
        <v>3200</v>
      </c>
      <c r="E20" s="72">
        <v>2000</v>
      </c>
    </row>
    <row r="21" spans="1:5" x14ac:dyDescent="0.3">
      <c r="A21" s="71" t="s">
        <v>1288</v>
      </c>
      <c r="B21" s="71">
        <v>550</v>
      </c>
      <c r="C21" s="72">
        <f>B21*1.8</f>
        <v>990</v>
      </c>
      <c r="D21" s="72">
        <v>1100</v>
      </c>
      <c r="E21" s="72"/>
    </row>
    <row r="22" spans="1:5" x14ac:dyDescent="0.3">
      <c r="A22" s="71" t="s">
        <v>1287</v>
      </c>
      <c r="B22" s="72">
        <v>1050</v>
      </c>
      <c r="C22" s="72">
        <f>B22*1.7</f>
        <v>1785</v>
      </c>
      <c r="D22" s="72">
        <v>1800</v>
      </c>
      <c r="E22" s="83"/>
    </row>
    <row r="23" spans="1:5" x14ac:dyDescent="0.3">
      <c r="A23" s="48" t="s">
        <v>751</v>
      </c>
      <c r="B23" s="48">
        <v>565</v>
      </c>
      <c r="C23" s="49">
        <f>B23*1.7</f>
        <v>960.5</v>
      </c>
      <c r="D23" s="49">
        <v>1000</v>
      </c>
      <c r="E23" s="49"/>
    </row>
    <row r="24" spans="1:5" x14ac:dyDescent="0.3">
      <c r="A24" s="52" t="s">
        <v>750</v>
      </c>
      <c r="B24" s="52">
        <v>925</v>
      </c>
      <c r="C24" s="53">
        <f>B24*1.6</f>
        <v>1480</v>
      </c>
      <c r="D24" s="53">
        <v>1500</v>
      </c>
      <c r="E24" s="53"/>
    </row>
    <row r="25" spans="1:5" x14ac:dyDescent="0.3">
      <c r="A25" s="48" t="s">
        <v>749</v>
      </c>
      <c r="B25" s="48">
        <v>1800</v>
      </c>
      <c r="C25" s="49">
        <f>B25*1.5</f>
        <v>2700</v>
      </c>
      <c r="D25" s="49">
        <v>2700</v>
      </c>
      <c r="E25" s="49"/>
    </row>
    <row r="26" spans="1:5" x14ac:dyDescent="0.3">
      <c r="A26" s="52" t="s">
        <v>748</v>
      </c>
      <c r="B26" s="52">
        <v>3550</v>
      </c>
      <c r="C26" s="53">
        <f>B26*1.4</f>
        <v>4970</v>
      </c>
      <c r="D26" s="53">
        <v>4950</v>
      </c>
      <c r="E26" s="53">
        <v>3500</v>
      </c>
    </row>
    <row r="27" spans="1:5" x14ac:dyDescent="0.3">
      <c r="A27" s="71" t="s">
        <v>1179</v>
      </c>
      <c r="B27" s="71">
        <v>3300</v>
      </c>
      <c r="C27" s="72">
        <f>B27*1.6</f>
        <v>5280</v>
      </c>
      <c r="D27" s="72">
        <v>5300</v>
      </c>
      <c r="E27" s="72"/>
    </row>
    <row r="28" spans="1:5" x14ac:dyDescent="0.3">
      <c r="A28" s="54" t="s">
        <v>1178</v>
      </c>
      <c r="B28" s="55">
        <v>6550</v>
      </c>
      <c r="C28" s="55">
        <f>B28*1.5</f>
        <v>9825</v>
      </c>
      <c r="D28" s="55">
        <v>9800</v>
      </c>
      <c r="E28" s="93"/>
    </row>
    <row r="29" spans="1:5" x14ac:dyDescent="0.3">
      <c r="A29" s="71" t="s">
        <v>1177</v>
      </c>
      <c r="B29" s="72">
        <v>13050</v>
      </c>
      <c r="C29" s="72">
        <f>B29*1.4</f>
        <v>18270</v>
      </c>
      <c r="D29" s="72">
        <v>18300</v>
      </c>
      <c r="E29" s="83"/>
    </row>
    <row r="30" spans="1:5" x14ac:dyDescent="0.3">
      <c r="A30" s="64" t="s">
        <v>747</v>
      </c>
      <c r="B30" s="65">
        <v>950</v>
      </c>
      <c r="C30" s="65">
        <f>B30*1.8</f>
        <v>1710</v>
      </c>
      <c r="D30" s="65">
        <v>1700</v>
      </c>
      <c r="E30" s="108"/>
    </row>
    <row r="31" spans="1:5" x14ac:dyDescent="0.3">
      <c r="A31" s="34" t="s">
        <v>746</v>
      </c>
      <c r="B31" s="35">
        <v>1125</v>
      </c>
      <c r="C31" s="35">
        <f>B31*1.7</f>
        <v>1912.5</v>
      </c>
      <c r="D31" s="35">
        <v>1900</v>
      </c>
      <c r="E31" s="73"/>
    </row>
    <row r="32" spans="1:5" x14ac:dyDescent="0.3">
      <c r="A32" s="64" t="s">
        <v>745</v>
      </c>
      <c r="B32" s="64">
        <v>2250</v>
      </c>
      <c r="C32" s="65">
        <f>B32*1.6</f>
        <v>3600</v>
      </c>
      <c r="D32" s="65">
        <v>3600</v>
      </c>
      <c r="E32" s="65"/>
    </row>
    <row r="33" spans="1:5" x14ac:dyDescent="0.3">
      <c r="A33" s="34" t="s">
        <v>744</v>
      </c>
      <c r="B33" s="34">
        <v>4500</v>
      </c>
      <c r="C33" s="35">
        <f>B33*1.5</f>
        <v>6750</v>
      </c>
      <c r="D33" s="35">
        <v>6750</v>
      </c>
      <c r="E33" s="35">
        <v>3500</v>
      </c>
    </row>
    <row r="34" spans="1:5" x14ac:dyDescent="0.3">
      <c r="A34" s="48" t="s">
        <v>1280</v>
      </c>
      <c r="B34" s="48">
        <v>6600</v>
      </c>
      <c r="C34" s="49">
        <f>B34*1.35</f>
        <v>8910</v>
      </c>
      <c r="D34" s="49">
        <v>8900</v>
      </c>
      <c r="E34" s="49"/>
    </row>
    <row r="35" spans="1:5" x14ac:dyDescent="0.3">
      <c r="A35" s="48" t="s">
        <v>1281</v>
      </c>
      <c r="B35" s="48">
        <v>1350</v>
      </c>
      <c r="C35" s="49">
        <f>B35*1.6</f>
        <v>2160</v>
      </c>
      <c r="D35" s="49">
        <v>2150</v>
      </c>
      <c r="E35" s="49">
        <v>1300</v>
      </c>
    </row>
    <row r="36" spans="1:5" x14ac:dyDescent="0.3">
      <c r="A36" s="48" t="s">
        <v>1282</v>
      </c>
      <c r="B36" s="49">
        <v>700</v>
      </c>
      <c r="C36" s="49">
        <f>B36*1.7</f>
        <v>1190</v>
      </c>
      <c r="D36" s="49">
        <v>1200</v>
      </c>
      <c r="E36" s="105"/>
    </row>
    <row r="37" spans="1:5" x14ac:dyDescent="0.3">
      <c r="A37" s="54" t="s">
        <v>1172</v>
      </c>
      <c r="B37" s="54">
        <v>1450</v>
      </c>
      <c r="C37" s="55">
        <f>B37*1.5</f>
        <v>2175</v>
      </c>
      <c r="D37" s="55">
        <v>2300</v>
      </c>
      <c r="E37" s="55">
        <v>1400</v>
      </c>
    </row>
    <row r="38" spans="1:5" x14ac:dyDescent="0.3">
      <c r="A38" s="54" t="s">
        <v>1171</v>
      </c>
      <c r="B38" s="55">
        <v>750</v>
      </c>
      <c r="C38" s="55">
        <f>B38*1.6</f>
        <v>1200</v>
      </c>
      <c r="D38" s="55">
        <v>1250</v>
      </c>
      <c r="E38" s="93"/>
    </row>
    <row r="39" spans="1:5" x14ac:dyDescent="0.3">
      <c r="A39" s="6" t="s">
        <v>1173</v>
      </c>
      <c r="B39" s="6">
        <v>1150</v>
      </c>
      <c r="C39" s="7">
        <f>B39*1.5</f>
        <v>1725</v>
      </c>
      <c r="D39" s="7">
        <v>1750</v>
      </c>
      <c r="E39" s="7">
        <v>1100</v>
      </c>
    </row>
    <row r="40" spans="1:5" x14ac:dyDescent="0.3">
      <c r="A40" s="6" t="s">
        <v>1174</v>
      </c>
      <c r="B40" s="6">
        <v>550</v>
      </c>
      <c r="C40" s="7">
        <f>B40*1.6</f>
        <v>880</v>
      </c>
      <c r="D40" s="7">
        <v>950</v>
      </c>
    </row>
    <row r="41" spans="1:5" x14ac:dyDescent="0.3">
      <c r="A41" s="76" t="s">
        <v>900</v>
      </c>
      <c r="B41" s="76">
        <v>250</v>
      </c>
      <c r="C41" s="7">
        <f>B41*1.8</f>
        <v>450</v>
      </c>
      <c r="D41" s="77">
        <v>500</v>
      </c>
      <c r="E41" s="77"/>
    </row>
    <row r="42" spans="1:5" x14ac:dyDescent="0.3">
      <c r="A42" s="76" t="s">
        <v>901</v>
      </c>
      <c r="B42" s="76">
        <v>500</v>
      </c>
      <c r="C42" s="7">
        <f>B42*1.7</f>
        <v>850</v>
      </c>
      <c r="D42" s="77">
        <v>850</v>
      </c>
      <c r="E42" s="77"/>
    </row>
    <row r="43" spans="1:5" x14ac:dyDescent="0.3">
      <c r="A43" s="76" t="s">
        <v>902</v>
      </c>
      <c r="B43" s="76">
        <v>900</v>
      </c>
      <c r="C43" s="7">
        <f>B43*1.6</f>
        <v>1440</v>
      </c>
      <c r="D43" s="77">
        <v>1500</v>
      </c>
      <c r="E43" s="77">
        <v>815</v>
      </c>
    </row>
    <row r="44" spans="1:5" x14ac:dyDescent="0.3">
      <c r="A44" s="90" t="s">
        <v>755</v>
      </c>
      <c r="B44" s="174">
        <v>1050</v>
      </c>
      <c r="C44" s="91">
        <f>B44*1.7</f>
        <v>1785</v>
      </c>
      <c r="D44" s="174">
        <v>1800</v>
      </c>
      <c r="E44" s="91"/>
    </row>
    <row r="45" spans="1:5" x14ac:dyDescent="0.3">
      <c r="A45" s="90" t="s">
        <v>754</v>
      </c>
      <c r="B45" s="91">
        <v>1300</v>
      </c>
      <c r="C45" s="91">
        <f>B45*1.7</f>
        <v>2210</v>
      </c>
      <c r="D45" s="91">
        <v>2200</v>
      </c>
      <c r="E45" s="107"/>
    </row>
    <row r="46" spans="1:5" x14ac:dyDescent="0.3">
      <c r="A46" s="90" t="s">
        <v>753</v>
      </c>
      <c r="B46" s="90">
        <v>2550</v>
      </c>
      <c r="C46" s="91">
        <f>B46*1.6</f>
        <v>4080</v>
      </c>
      <c r="D46" s="91">
        <v>4000</v>
      </c>
      <c r="E46" s="91"/>
    </row>
    <row r="47" spans="1:5" x14ac:dyDescent="0.3">
      <c r="A47" s="90" t="s">
        <v>752</v>
      </c>
      <c r="B47" s="90">
        <v>5050</v>
      </c>
      <c r="C47" s="91">
        <f>B47*1.5</f>
        <v>7575</v>
      </c>
      <c r="D47" s="91">
        <v>7500</v>
      </c>
      <c r="E47" s="91">
        <v>5000</v>
      </c>
    </row>
    <row r="48" spans="1:5" x14ac:dyDescent="0.3">
      <c r="A48" s="34" t="s">
        <v>181</v>
      </c>
      <c r="B48" s="34">
        <v>950</v>
      </c>
      <c r="C48" s="35">
        <f>B48*1.5</f>
        <v>1425</v>
      </c>
      <c r="D48" s="35">
        <v>1450</v>
      </c>
      <c r="E48" s="35">
        <v>847</v>
      </c>
    </row>
    <row r="49" spans="1:5" x14ac:dyDescent="0.3">
      <c r="A49" s="34" t="s">
        <v>182</v>
      </c>
      <c r="B49" s="34">
        <v>500</v>
      </c>
      <c r="C49" s="35">
        <f>B49*1.6</f>
        <v>800</v>
      </c>
      <c r="D49" s="35">
        <v>800</v>
      </c>
      <c r="E49" s="35"/>
    </row>
    <row r="50" spans="1:5" x14ac:dyDescent="0.3">
      <c r="A50" s="34" t="s">
        <v>919</v>
      </c>
      <c r="B50" s="34">
        <v>1690</v>
      </c>
      <c r="C50" s="7">
        <f>B50*1.6</f>
        <v>2704</v>
      </c>
      <c r="D50" s="35">
        <v>2700</v>
      </c>
      <c r="E50" s="35"/>
    </row>
    <row r="51" spans="1:5" x14ac:dyDescent="0.3">
      <c r="A51" s="68" t="s">
        <v>918</v>
      </c>
      <c r="B51" s="68">
        <v>3270</v>
      </c>
      <c r="C51" s="69">
        <f>B51*1.5</f>
        <v>4905</v>
      </c>
      <c r="D51" s="69">
        <v>4900</v>
      </c>
      <c r="E51" s="69"/>
    </row>
    <row r="52" spans="1:5" x14ac:dyDescent="0.3">
      <c r="A52" s="54" t="s">
        <v>447</v>
      </c>
      <c r="B52" s="140">
        <v>1050</v>
      </c>
      <c r="C52" s="55">
        <f>B52*1.6</f>
        <v>1680</v>
      </c>
      <c r="D52" s="141">
        <v>1700</v>
      </c>
      <c r="E52" s="55">
        <v>1000</v>
      </c>
    </row>
    <row r="53" spans="1:5" x14ac:dyDescent="0.3">
      <c r="A53" s="54" t="s">
        <v>448</v>
      </c>
      <c r="B53" s="141">
        <v>550</v>
      </c>
      <c r="C53" s="55">
        <f>B53*1.7</f>
        <v>935</v>
      </c>
      <c r="D53" s="55">
        <v>950</v>
      </c>
      <c r="E53" s="55"/>
    </row>
    <row r="54" spans="1:5" x14ac:dyDescent="0.3">
      <c r="A54" s="34" t="s">
        <v>683</v>
      </c>
      <c r="B54" s="34">
        <v>775</v>
      </c>
      <c r="C54" s="7">
        <f>B54*1.7</f>
        <v>1317.5</v>
      </c>
      <c r="D54" s="35">
        <v>1350</v>
      </c>
      <c r="E54" s="35"/>
    </row>
    <row r="55" spans="1:5" x14ac:dyDescent="0.3">
      <c r="A55" s="6" t="s">
        <v>682</v>
      </c>
      <c r="B55" s="7">
        <v>1500</v>
      </c>
      <c r="C55" s="7">
        <f>B55*1.6</f>
        <v>2400</v>
      </c>
      <c r="D55" s="7">
        <v>2400</v>
      </c>
    </row>
    <row r="56" spans="1:5" x14ac:dyDescent="0.3">
      <c r="A56" s="6" t="s">
        <v>681</v>
      </c>
      <c r="B56" s="7">
        <v>2950</v>
      </c>
      <c r="C56" s="7">
        <f>B56*1.5</f>
        <v>4425</v>
      </c>
      <c r="D56" s="7">
        <v>4400</v>
      </c>
      <c r="E56" s="14">
        <v>2900</v>
      </c>
    </row>
    <row r="57" spans="1:5" x14ac:dyDescent="0.3">
      <c r="A57" s="68" t="s">
        <v>646</v>
      </c>
      <c r="B57" s="69">
        <v>400</v>
      </c>
      <c r="C57" s="69">
        <f>B57*1.8</f>
        <v>720</v>
      </c>
      <c r="D57" s="69">
        <v>700</v>
      </c>
      <c r="E57" s="69"/>
    </row>
    <row r="58" spans="1:5" x14ac:dyDescent="0.3">
      <c r="A58" s="68" t="s">
        <v>645</v>
      </c>
      <c r="B58" s="68">
        <v>760</v>
      </c>
      <c r="C58" s="69">
        <f>B58*1.7</f>
        <v>1292</v>
      </c>
      <c r="D58" s="69">
        <v>1300</v>
      </c>
      <c r="E58" s="69">
        <v>710</v>
      </c>
    </row>
    <row r="59" spans="1:5" x14ac:dyDescent="0.3">
      <c r="A59" s="50" t="s">
        <v>426</v>
      </c>
      <c r="B59" s="50">
        <v>1070</v>
      </c>
      <c r="C59" s="51">
        <f>B59*1.5</f>
        <v>1605</v>
      </c>
      <c r="D59" s="51">
        <v>1600</v>
      </c>
      <c r="E59" s="51"/>
    </row>
    <row r="60" spans="1:5" x14ac:dyDescent="0.3">
      <c r="A60" s="50" t="s">
        <v>425</v>
      </c>
      <c r="B60" s="51">
        <v>555</v>
      </c>
      <c r="C60" s="51">
        <f>B60*1.6</f>
        <v>888</v>
      </c>
      <c r="D60" s="51">
        <v>900</v>
      </c>
      <c r="E60" s="94">
        <v>1010</v>
      </c>
    </row>
    <row r="61" spans="1:5" x14ac:dyDescent="0.3">
      <c r="A61" s="54" t="s">
        <v>66</v>
      </c>
      <c r="B61" s="54">
        <v>3000</v>
      </c>
      <c r="C61" s="55">
        <f>B61*1.5</f>
        <v>4500</v>
      </c>
      <c r="D61" s="55">
        <v>4500</v>
      </c>
      <c r="E61" s="55"/>
    </row>
    <row r="62" spans="1:5" x14ac:dyDescent="0.3">
      <c r="A62" s="54" t="s">
        <v>64</v>
      </c>
      <c r="B62" s="54">
        <v>750</v>
      </c>
      <c r="C62" s="55">
        <f>B62*1.7</f>
        <v>1275</v>
      </c>
      <c r="D62" s="55">
        <v>1270</v>
      </c>
      <c r="E62" s="55">
        <v>3000</v>
      </c>
    </row>
    <row r="63" spans="1:5" x14ac:dyDescent="0.3">
      <c r="A63" s="54" t="s">
        <v>65</v>
      </c>
      <c r="B63" s="54">
        <v>1500</v>
      </c>
      <c r="C63" s="55">
        <f>B63*1.6</f>
        <v>2400</v>
      </c>
      <c r="D63" s="55">
        <v>2400</v>
      </c>
      <c r="E63" s="55"/>
    </row>
    <row r="64" spans="1:5" x14ac:dyDescent="0.3">
      <c r="A64" s="34" t="s">
        <v>684</v>
      </c>
      <c r="B64" s="35">
        <v>4550</v>
      </c>
      <c r="C64" s="35">
        <f>B64*1.5</f>
        <v>6825</v>
      </c>
      <c r="D64" s="35">
        <v>6800</v>
      </c>
      <c r="E64" s="73"/>
    </row>
    <row r="65" spans="1:5" x14ac:dyDescent="0.3">
      <c r="A65" s="6" t="s">
        <v>685</v>
      </c>
      <c r="B65" s="6">
        <v>2625</v>
      </c>
      <c r="C65" s="7">
        <f>B65*1.5</f>
        <v>3937.5</v>
      </c>
      <c r="D65" s="7">
        <v>3900</v>
      </c>
    </row>
    <row r="66" spans="1:5" x14ac:dyDescent="0.3">
      <c r="A66" s="6" t="s">
        <v>672</v>
      </c>
      <c r="B66" s="7">
        <v>3390</v>
      </c>
      <c r="C66" s="7">
        <f>B66*1.6</f>
        <v>5424</v>
      </c>
      <c r="D66" s="7">
        <v>5200</v>
      </c>
      <c r="E66" s="14">
        <v>5200</v>
      </c>
    </row>
    <row r="67" spans="1:5" x14ac:dyDescent="0.3">
      <c r="A67" s="66" t="s">
        <v>499</v>
      </c>
      <c r="B67" s="67">
        <v>400</v>
      </c>
      <c r="C67" s="67">
        <f>B67*1.8</f>
        <v>720</v>
      </c>
      <c r="D67" s="67">
        <v>700</v>
      </c>
      <c r="E67" s="67"/>
    </row>
    <row r="68" spans="1:5" x14ac:dyDescent="0.3">
      <c r="A68" s="34" t="s">
        <v>498</v>
      </c>
      <c r="B68" s="34">
        <v>750</v>
      </c>
      <c r="C68" s="35">
        <f>B68*1.6</f>
        <v>1200</v>
      </c>
      <c r="D68" s="35">
        <v>1200</v>
      </c>
      <c r="E68" s="35"/>
    </row>
    <row r="69" spans="1:5" x14ac:dyDescent="0.3">
      <c r="A69" s="34" t="s">
        <v>497</v>
      </c>
      <c r="B69" s="34">
        <v>1400</v>
      </c>
      <c r="C69" s="35">
        <f>B69*1.5</f>
        <v>2100</v>
      </c>
      <c r="D69" s="35">
        <v>2100</v>
      </c>
      <c r="E69" s="35">
        <v>1300</v>
      </c>
    </row>
    <row r="70" spans="1:5" x14ac:dyDescent="0.3">
      <c r="A70" s="6" t="s">
        <v>994</v>
      </c>
      <c r="B70" s="6">
        <v>2700</v>
      </c>
      <c r="C70" s="7">
        <f>B70*1.5</f>
        <v>4050</v>
      </c>
      <c r="D70" s="7">
        <v>3900</v>
      </c>
    </row>
    <row r="71" spans="1:5" x14ac:dyDescent="0.3">
      <c r="A71" s="6" t="s">
        <v>107</v>
      </c>
      <c r="B71" s="7">
        <v>850</v>
      </c>
      <c r="C71" s="7">
        <f>B71*1.6</f>
        <v>1360</v>
      </c>
      <c r="D71" s="7">
        <v>1400</v>
      </c>
      <c r="E71" s="14"/>
    </row>
    <row r="72" spans="1:5" x14ac:dyDescent="0.3">
      <c r="A72" s="48" t="s">
        <v>658</v>
      </c>
      <c r="B72" s="49">
        <v>500</v>
      </c>
      <c r="C72" s="49">
        <f>B72*1.7</f>
        <v>850</v>
      </c>
      <c r="D72" s="49">
        <v>850</v>
      </c>
      <c r="E72" s="49"/>
    </row>
    <row r="73" spans="1:5" x14ac:dyDescent="0.3">
      <c r="A73" s="52" t="s">
        <v>657</v>
      </c>
      <c r="B73" s="52">
        <v>1175</v>
      </c>
      <c r="C73" s="53">
        <f>B73*1.6</f>
        <v>1880</v>
      </c>
      <c r="D73" s="53">
        <v>1900</v>
      </c>
      <c r="E73" s="53"/>
    </row>
    <row r="74" spans="1:5" x14ac:dyDescent="0.3">
      <c r="A74" s="48" t="s">
        <v>656</v>
      </c>
      <c r="B74" s="48">
        <v>2300</v>
      </c>
      <c r="C74" s="49">
        <f>B74*1.5</f>
        <v>3450</v>
      </c>
      <c r="D74" s="49">
        <v>3450</v>
      </c>
      <c r="E74" s="49"/>
    </row>
    <row r="75" spans="1:5" x14ac:dyDescent="0.3">
      <c r="A75" s="52" t="s">
        <v>655</v>
      </c>
      <c r="B75" s="53">
        <v>4550</v>
      </c>
      <c r="C75" s="53">
        <f>B75*1.4</f>
        <v>6370</v>
      </c>
      <c r="D75" s="53">
        <v>6400</v>
      </c>
      <c r="E75" s="53">
        <v>4500</v>
      </c>
    </row>
    <row r="76" spans="1:5" x14ac:dyDescent="0.3">
      <c r="A76" s="6" t="s">
        <v>53</v>
      </c>
      <c r="B76" s="6">
        <v>540</v>
      </c>
      <c r="C76" s="7">
        <f>B76*1.8</f>
        <v>972</v>
      </c>
      <c r="D76" s="7">
        <v>750</v>
      </c>
    </row>
    <row r="77" spans="1:5" x14ac:dyDescent="0.3">
      <c r="A77" s="71" t="s">
        <v>183</v>
      </c>
      <c r="B77" s="71">
        <v>350</v>
      </c>
      <c r="C77" s="72">
        <f>B77*1.8</f>
        <v>630</v>
      </c>
      <c r="D77" s="72">
        <v>700</v>
      </c>
      <c r="E77" s="72">
        <v>672</v>
      </c>
    </row>
    <row r="78" spans="1:5" x14ac:dyDescent="0.3">
      <c r="A78" s="71" t="s">
        <v>184</v>
      </c>
      <c r="B78" s="72">
        <v>664</v>
      </c>
      <c r="C78" s="72">
        <f>B78*1.8</f>
        <v>1195.2</v>
      </c>
      <c r="D78" s="72">
        <v>1250</v>
      </c>
      <c r="E78" s="72"/>
    </row>
    <row r="79" spans="1:5" x14ac:dyDescent="0.3">
      <c r="A79" s="34" t="s">
        <v>1002</v>
      </c>
      <c r="B79" s="34">
        <v>2360</v>
      </c>
      <c r="C79" s="7">
        <f>B79*1.6</f>
        <v>3776</v>
      </c>
      <c r="D79" s="35">
        <v>3800</v>
      </c>
      <c r="E79" s="35">
        <v>7000</v>
      </c>
    </row>
    <row r="80" spans="1:5" x14ac:dyDescent="0.3">
      <c r="A80" s="52" t="s">
        <v>500</v>
      </c>
      <c r="B80" s="52">
        <v>1650</v>
      </c>
      <c r="C80" s="53">
        <f>B80*1.5</f>
        <v>2475</v>
      </c>
      <c r="D80" s="53">
        <v>2500</v>
      </c>
      <c r="E80" s="53">
        <v>1600</v>
      </c>
    </row>
    <row r="81" spans="1:5" x14ac:dyDescent="0.3">
      <c r="A81" s="52" t="s">
        <v>501</v>
      </c>
      <c r="B81" s="53">
        <v>850</v>
      </c>
      <c r="C81" s="53">
        <f>B81*1.6</f>
        <v>1360</v>
      </c>
      <c r="D81" s="53">
        <v>1400</v>
      </c>
      <c r="E81" s="53"/>
    </row>
    <row r="82" spans="1:5" x14ac:dyDescent="0.3">
      <c r="A82" s="71" t="s">
        <v>652</v>
      </c>
      <c r="B82" s="71">
        <v>250</v>
      </c>
      <c r="C82" s="72">
        <f>B82*1.8</f>
        <v>450</v>
      </c>
      <c r="D82" s="72">
        <v>500</v>
      </c>
      <c r="E82" s="72"/>
    </row>
    <row r="83" spans="1:5" x14ac:dyDescent="0.3">
      <c r="A83" s="54" t="s">
        <v>651</v>
      </c>
      <c r="B83" s="54">
        <v>450</v>
      </c>
      <c r="C83" s="55">
        <f>B83*1.7</f>
        <v>765</v>
      </c>
      <c r="D83" s="55">
        <v>800</v>
      </c>
      <c r="E83" s="55"/>
    </row>
    <row r="84" spans="1:5" x14ac:dyDescent="0.3">
      <c r="A84" s="71" t="s">
        <v>650</v>
      </c>
      <c r="B84" s="71">
        <v>850</v>
      </c>
      <c r="C84" s="72">
        <f>B84*1.7</f>
        <v>1445</v>
      </c>
      <c r="D84" s="72">
        <v>1500</v>
      </c>
      <c r="E84" s="72">
        <v>800</v>
      </c>
    </row>
    <row r="85" spans="1:5" x14ac:dyDescent="0.3">
      <c r="A85" s="6" t="s">
        <v>430</v>
      </c>
      <c r="B85" s="6">
        <v>1250</v>
      </c>
      <c r="C85" s="7">
        <f>B85*1.5</f>
        <v>1875</v>
      </c>
      <c r="D85" s="7">
        <v>1900</v>
      </c>
      <c r="E85" s="7">
        <v>1170</v>
      </c>
    </row>
    <row r="86" spans="1:5" x14ac:dyDescent="0.3">
      <c r="A86" s="6" t="s">
        <v>431</v>
      </c>
      <c r="B86" s="6">
        <v>550</v>
      </c>
      <c r="C86" s="7">
        <f>B86*1.5</f>
        <v>825</v>
      </c>
      <c r="D86" s="7">
        <v>1050</v>
      </c>
    </row>
    <row r="87" spans="1:5" x14ac:dyDescent="0.3">
      <c r="A87" s="64" t="s">
        <v>1098</v>
      </c>
      <c r="B87" s="64">
        <v>520</v>
      </c>
      <c r="C87" s="65">
        <f>B87*1.7</f>
        <v>884</v>
      </c>
      <c r="D87" s="65">
        <v>850</v>
      </c>
      <c r="E87" s="65"/>
    </row>
    <row r="88" spans="1:5" x14ac:dyDescent="0.3">
      <c r="A88" s="34" t="s">
        <v>1096</v>
      </c>
      <c r="B88" s="35">
        <v>980</v>
      </c>
      <c r="C88" s="35">
        <f>B88*1.6</f>
        <v>1568</v>
      </c>
      <c r="D88" s="35">
        <v>1550</v>
      </c>
      <c r="E88" s="35"/>
    </row>
    <row r="89" spans="1:5" x14ac:dyDescent="0.3">
      <c r="A89" s="64" t="s">
        <v>1097</v>
      </c>
      <c r="B89" s="64">
        <v>1910</v>
      </c>
      <c r="C89" s="65">
        <f>B89*1.5</f>
        <v>2865</v>
      </c>
      <c r="D89" s="65">
        <v>2900</v>
      </c>
      <c r="E89" s="65">
        <v>1860</v>
      </c>
    </row>
    <row r="90" spans="1:5" x14ac:dyDescent="0.3">
      <c r="B90" s="17"/>
      <c r="C90" s="7">
        <f>B90*1.5</f>
        <v>0</v>
      </c>
      <c r="D90" s="12"/>
    </row>
    <row r="91" spans="1:5" x14ac:dyDescent="0.3">
      <c r="A91" s="64"/>
      <c r="B91" s="64"/>
      <c r="C91" s="65">
        <f>B91*1.6</f>
        <v>0</v>
      </c>
      <c r="D91" s="65"/>
      <c r="E91" s="65"/>
    </row>
    <row r="92" spans="1:5" x14ac:dyDescent="0.3">
      <c r="C92" s="7">
        <f>B92*1.8</f>
        <v>0</v>
      </c>
    </row>
    <row r="93" spans="1:5" x14ac:dyDescent="0.3">
      <c r="B93" s="7"/>
      <c r="C93" s="7">
        <f>B93*1.6</f>
        <v>0</v>
      </c>
      <c r="E93" s="14"/>
    </row>
    <row r="94" spans="1:5" x14ac:dyDescent="0.3">
      <c r="B94" s="7"/>
      <c r="C94" s="7">
        <f>B94*1.5</f>
        <v>0</v>
      </c>
    </row>
    <row r="95" spans="1:5" x14ac:dyDescent="0.3">
      <c r="A95" s="21"/>
      <c r="B95" s="22"/>
      <c r="C95" s="7">
        <f>B95*1.5</f>
        <v>0</v>
      </c>
      <c r="D95" s="22"/>
      <c r="E95" s="24"/>
    </row>
    <row r="96" spans="1:5" x14ac:dyDescent="0.3">
      <c r="A96" s="54"/>
      <c r="B96" s="54"/>
      <c r="C96" s="55">
        <f>B96*1.4</f>
        <v>0</v>
      </c>
      <c r="D96" s="55"/>
      <c r="E96" s="55"/>
    </row>
    <row r="97" spans="1:5" x14ac:dyDescent="0.3">
      <c r="A97" s="54"/>
      <c r="B97" s="55"/>
      <c r="C97" s="55">
        <f>B97*1.5</f>
        <v>0</v>
      </c>
      <c r="D97" s="55"/>
      <c r="E97" s="55"/>
    </row>
    <row r="98" spans="1:5" x14ac:dyDescent="0.3">
      <c r="C98" s="7">
        <f>B98*1.6</f>
        <v>0</v>
      </c>
    </row>
    <row r="99" spans="1:5" x14ac:dyDescent="0.3">
      <c r="A99" s="54"/>
      <c r="B99" s="54"/>
      <c r="C99" s="55">
        <f>B99*1.6</f>
        <v>0</v>
      </c>
      <c r="D99" s="55"/>
      <c r="E99" s="55"/>
    </row>
    <row r="100" spans="1:5" x14ac:dyDescent="0.3">
      <c r="C100" s="7">
        <f>B100*1.6</f>
        <v>0</v>
      </c>
    </row>
    <row r="101" spans="1:5" x14ac:dyDescent="0.3">
      <c r="B101" s="7"/>
      <c r="C101" s="7">
        <f>B101*1.8</f>
        <v>0</v>
      </c>
    </row>
    <row r="102" spans="1:5" x14ac:dyDescent="0.3">
      <c r="B102" s="7"/>
      <c r="C102" s="7">
        <f>B102*1.8</f>
        <v>0</v>
      </c>
    </row>
    <row r="103" spans="1:5" x14ac:dyDescent="0.3">
      <c r="B103" s="12"/>
      <c r="C103" s="7">
        <f>B103*1.5</f>
        <v>0</v>
      </c>
      <c r="D103" s="12"/>
    </row>
    <row r="104" spans="1:5" x14ac:dyDescent="0.3">
      <c r="A104" s="52"/>
      <c r="B104" s="52"/>
      <c r="C104" s="53">
        <f>B104*1.6</f>
        <v>0</v>
      </c>
      <c r="D104" s="53"/>
      <c r="E104" s="53"/>
    </row>
    <row r="105" spans="1:5" x14ac:dyDescent="0.3">
      <c r="C105" s="7">
        <f>B105*1.5</f>
        <v>0</v>
      </c>
    </row>
    <row r="106" spans="1:5" x14ac:dyDescent="0.3">
      <c r="C106" s="7">
        <f>B106*1.5</f>
        <v>0</v>
      </c>
    </row>
    <row r="107" spans="1:5" x14ac:dyDescent="0.3">
      <c r="C107" s="7">
        <f>B107*1.5</f>
        <v>0</v>
      </c>
    </row>
    <row r="108" spans="1:5" x14ac:dyDescent="0.3">
      <c r="C108" s="7">
        <f>B108*1.5</f>
        <v>0</v>
      </c>
    </row>
    <row r="109" spans="1:5" x14ac:dyDescent="0.3">
      <c r="C109" s="7">
        <f>B109*1.5</f>
        <v>0</v>
      </c>
    </row>
  </sheetData>
  <sortState xmlns:xlrd2="http://schemas.microsoft.com/office/spreadsheetml/2017/richdata2" ref="A3:E59">
    <sortCondition ref="A2:A59"/>
  </sortState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C2F64-8897-4809-B9C6-843D80C9CF2B}">
  <sheetPr codeName="Hoja9"/>
  <dimension ref="A1:E79"/>
  <sheetViews>
    <sheetView workbookViewId="0">
      <selection activeCell="A2" sqref="A2:A78 D2:D78"/>
    </sheetView>
  </sheetViews>
  <sheetFormatPr baseColWidth="10" defaultRowHeight="14.4" x14ac:dyDescent="0.3"/>
  <cols>
    <col min="1" max="1" width="61.6640625" style="6" customWidth="1"/>
    <col min="2" max="2" width="19.44140625" style="7" customWidth="1"/>
    <col min="3" max="3" width="17.88671875" style="7" bestFit="1" customWidth="1"/>
    <col min="4" max="4" width="23.33203125" style="7" bestFit="1" customWidth="1"/>
    <col min="5" max="5" width="19" style="7" bestFit="1" customWidth="1"/>
  </cols>
  <sheetData>
    <row r="1" spans="1:5" x14ac:dyDescent="0.3">
      <c r="A1" s="4" t="s">
        <v>0</v>
      </c>
      <c r="B1" s="5" t="s">
        <v>10</v>
      </c>
      <c r="C1" s="5" t="s">
        <v>1</v>
      </c>
      <c r="D1" s="5" t="s">
        <v>2</v>
      </c>
      <c r="E1" s="5" t="s">
        <v>32</v>
      </c>
    </row>
    <row r="2" spans="1:5" x14ac:dyDescent="0.3">
      <c r="A2" s="54" t="s">
        <v>779</v>
      </c>
      <c r="B2" s="169">
        <v>1300</v>
      </c>
      <c r="C2" s="169">
        <f>B2*1.75</f>
        <v>2275</v>
      </c>
      <c r="D2" s="55">
        <v>2300</v>
      </c>
      <c r="E2" s="169"/>
    </row>
    <row r="3" spans="1:5" x14ac:dyDescent="0.3">
      <c r="A3" s="165" t="s">
        <v>777</v>
      </c>
      <c r="B3" s="191">
        <v>2750</v>
      </c>
      <c r="C3" s="191">
        <f>B3*1.7</f>
        <v>4675</v>
      </c>
      <c r="D3" s="166">
        <v>4650</v>
      </c>
      <c r="E3" s="191"/>
    </row>
    <row r="4" spans="1:5" x14ac:dyDescent="0.3">
      <c r="A4" s="54" t="s">
        <v>776</v>
      </c>
      <c r="B4" s="168">
        <v>4500</v>
      </c>
      <c r="C4" s="168">
        <f>B4*1.6</f>
        <v>7200</v>
      </c>
      <c r="D4" s="55">
        <v>7200</v>
      </c>
      <c r="E4" s="168"/>
    </row>
    <row r="5" spans="1:5" x14ac:dyDescent="0.3">
      <c r="A5" s="165" t="s">
        <v>775</v>
      </c>
      <c r="B5" s="191">
        <v>8950</v>
      </c>
      <c r="C5" s="191">
        <f>B5*1.5</f>
        <v>13425</v>
      </c>
      <c r="D5" s="166">
        <v>13400</v>
      </c>
      <c r="E5" s="191"/>
    </row>
    <row r="6" spans="1:5" x14ac:dyDescent="0.3">
      <c r="A6" s="54" t="s">
        <v>778</v>
      </c>
      <c r="B6" s="168">
        <v>17900</v>
      </c>
      <c r="C6" s="168">
        <f>B6*1.4</f>
        <v>25060</v>
      </c>
      <c r="D6" s="55">
        <v>25000</v>
      </c>
      <c r="E6" s="168">
        <v>17900</v>
      </c>
    </row>
    <row r="7" spans="1:5" x14ac:dyDescent="0.3">
      <c r="A7" s="90" t="s">
        <v>1145</v>
      </c>
      <c r="B7" s="134">
        <v>1530</v>
      </c>
      <c r="C7" s="134">
        <f>B7*1.75</f>
        <v>2677.5</v>
      </c>
      <c r="D7" s="91">
        <v>2700</v>
      </c>
      <c r="E7" s="134"/>
    </row>
    <row r="8" spans="1:5" x14ac:dyDescent="0.3">
      <c r="A8" s="68" t="s">
        <v>1144</v>
      </c>
      <c r="B8" s="190">
        <v>3200</v>
      </c>
      <c r="C8" s="190">
        <f>B8*1.7</f>
        <v>5440</v>
      </c>
      <c r="D8" s="69">
        <v>5450</v>
      </c>
      <c r="E8" s="190"/>
    </row>
    <row r="9" spans="1:5" x14ac:dyDescent="0.3">
      <c r="A9" s="90" t="s">
        <v>1143</v>
      </c>
      <c r="B9" s="134">
        <v>5320</v>
      </c>
      <c r="C9" s="134">
        <f>B9*1.6</f>
        <v>8512</v>
      </c>
      <c r="D9" s="91">
        <v>8500</v>
      </c>
      <c r="E9" s="134"/>
    </row>
    <row r="10" spans="1:5" x14ac:dyDescent="0.3">
      <c r="A10" s="68" t="s">
        <v>1142</v>
      </c>
      <c r="B10" s="190">
        <v>10600</v>
      </c>
      <c r="C10" s="190">
        <f>B10*1.5</f>
        <v>15900</v>
      </c>
      <c r="D10" s="69">
        <v>15900</v>
      </c>
      <c r="E10" s="190"/>
    </row>
    <row r="11" spans="1:5" x14ac:dyDescent="0.3">
      <c r="A11" s="90" t="s">
        <v>1141</v>
      </c>
      <c r="B11" s="134">
        <v>21150</v>
      </c>
      <c r="C11" s="134">
        <f>B11*1.4</f>
        <v>29609.999999999996</v>
      </c>
      <c r="D11" s="91">
        <v>29600</v>
      </c>
      <c r="E11" s="134">
        <v>21100</v>
      </c>
    </row>
    <row r="12" spans="1:5" x14ac:dyDescent="0.3">
      <c r="A12" s="6" t="s">
        <v>336</v>
      </c>
      <c r="B12" s="36">
        <v>4382</v>
      </c>
      <c r="C12" s="36">
        <f>B12*1.4</f>
        <v>6134.7999999999993</v>
      </c>
      <c r="D12" s="7">
        <v>6700</v>
      </c>
      <c r="E12" s="36"/>
    </row>
    <row r="13" spans="1:5" x14ac:dyDescent="0.3">
      <c r="A13" s="6" t="s">
        <v>186</v>
      </c>
      <c r="B13" s="36">
        <v>2300</v>
      </c>
      <c r="C13" s="36">
        <f>B13*1.4</f>
        <v>3220</v>
      </c>
      <c r="D13" s="7">
        <v>3500</v>
      </c>
      <c r="E13" s="36"/>
    </row>
    <row r="14" spans="1:5" x14ac:dyDescent="0.3">
      <c r="A14" s="6" t="s">
        <v>185</v>
      </c>
      <c r="B14" s="16">
        <v>1762</v>
      </c>
      <c r="C14" s="16">
        <f>B14*1.4</f>
        <v>2466.7999999999997</v>
      </c>
      <c r="D14" s="7">
        <v>2900</v>
      </c>
      <c r="E14" s="36"/>
    </row>
    <row r="15" spans="1:5" x14ac:dyDescent="0.3">
      <c r="A15" s="6" t="s">
        <v>223</v>
      </c>
      <c r="B15" s="36">
        <v>810</v>
      </c>
      <c r="C15" s="36">
        <f>B15*1.4</f>
        <v>1134</v>
      </c>
      <c r="D15" s="7">
        <v>1150</v>
      </c>
      <c r="E15" s="36"/>
    </row>
    <row r="16" spans="1:5" x14ac:dyDescent="0.3">
      <c r="A16" s="34" t="s">
        <v>704</v>
      </c>
      <c r="B16" s="97">
        <v>1000</v>
      </c>
      <c r="C16" s="97">
        <f>B16*1.8</f>
        <v>1800</v>
      </c>
      <c r="D16" s="35">
        <v>1800</v>
      </c>
      <c r="E16" s="97"/>
    </row>
    <row r="17" spans="1:5" x14ac:dyDescent="0.3">
      <c r="A17" s="71" t="s">
        <v>705</v>
      </c>
      <c r="B17" s="128">
        <v>2000</v>
      </c>
      <c r="C17" s="128">
        <f>B17*1.7</f>
        <v>3400</v>
      </c>
      <c r="D17" s="72">
        <v>3400</v>
      </c>
      <c r="E17" s="128"/>
    </row>
    <row r="18" spans="1:5" x14ac:dyDescent="0.3">
      <c r="A18" s="64" t="s">
        <v>706</v>
      </c>
      <c r="B18" s="126">
        <v>2425</v>
      </c>
      <c r="C18" s="126">
        <f>B18*1.6</f>
        <v>3880</v>
      </c>
      <c r="D18" s="65">
        <v>3900</v>
      </c>
      <c r="E18" s="126"/>
    </row>
    <row r="19" spans="1:5" x14ac:dyDescent="0.3">
      <c r="A19" s="34" t="s">
        <v>703</v>
      </c>
      <c r="B19" s="96">
        <v>4800</v>
      </c>
      <c r="C19" s="96">
        <f>B19*1.5</f>
        <v>7200</v>
      </c>
      <c r="D19" s="35">
        <v>7200</v>
      </c>
      <c r="E19" s="96"/>
    </row>
    <row r="20" spans="1:5" x14ac:dyDescent="0.3">
      <c r="A20" s="64" t="s">
        <v>702</v>
      </c>
      <c r="B20" s="126">
        <v>9550</v>
      </c>
      <c r="C20" s="126">
        <f>B20*1.4</f>
        <v>13370</v>
      </c>
      <c r="D20" s="65">
        <v>13400</v>
      </c>
      <c r="E20" s="65">
        <v>9500</v>
      </c>
    </row>
    <row r="21" spans="1:5" x14ac:dyDescent="0.3">
      <c r="A21" s="6" t="s">
        <v>524</v>
      </c>
      <c r="B21" s="37">
        <v>4550</v>
      </c>
      <c r="C21" s="37">
        <f>B21*1.4</f>
        <v>6370</v>
      </c>
      <c r="D21" s="7">
        <v>6400</v>
      </c>
      <c r="E21" s="37">
        <v>4500</v>
      </c>
    </row>
    <row r="22" spans="1:5" x14ac:dyDescent="0.3">
      <c r="A22" s="6" t="s">
        <v>527</v>
      </c>
      <c r="B22" s="37">
        <v>950</v>
      </c>
      <c r="C22" s="37">
        <f>B22*1.65</f>
        <v>1567.5</v>
      </c>
      <c r="D22" s="7">
        <v>1600</v>
      </c>
      <c r="E22" s="37"/>
    </row>
    <row r="23" spans="1:5" x14ac:dyDescent="0.3">
      <c r="A23" s="6" t="s">
        <v>526</v>
      </c>
      <c r="B23" s="38">
        <v>1175</v>
      </c>
      <c r="C23" s="38">
        <f>B23*1.6</f>
        <v>1880</v>
      </c>
      <c r="D23" s="7">
        <v>1900</v>
      </c>
      <c r="E23" s="38"/>
    </row>
    <row r="24" spans="1:5" x14ac:dyDescent="0.3">
      <c r="A24" s="6" t="s">
        <v>525</v>
      </c>
      <c r="B24" s="38">
        <v>2300</v>
      </c>
      <c r="C24" s="38">
        <f>B24*1.5</f>
        <v>3450</v>
      </c>
      <c r="D24" s="7">
        <v>3500</v>
      </c>
      <c r="E24" s="38"/>
    </row>
    <row r="25" spans="1:5" x14ac:dyDescent="0.3">
      <c r="A25" s="6" t="s">
        <v>541</v>
      </c>
      <c r="B25" s="38">
        <v>455</v>
      </c>
      <c r="C25" s="38">
        <f>B25*1.7</f>
        <v>773.5</v>
      </c>
      <c r="D25" s="7">
        <v>800</v>
      </c>
      <c r="E25" s="38"/>
    </row>
    <row r="26" spans="1:5" x14ac:dyDescent="0.3">
      <c r="A26" s="6" t="s">
        <v>478</v>
      </c>
      <c r="B26" s="7">
        <v>4000</v>
      </c>
      <c r="C26" s="7">
        <f>B26*1.4</f>
        <v>5600</v>
      </c>
      <c r="D26" s="7">
        <v>5500</v>
      </c>
    </row>
    <row r="27" spans="1:5" x14ac:dyDescent="0.3">
      <c r="A27" s="173" t="s">
        <v>1338</v>
      </c>
      <c r="B27" s="56">
        <v>3150</v>
      </c>
      <c r="C27" s="56">
        <f>B27*1.6</f>
        <v>5040</v>
      </c>
      <c r="D27" s="56">
        <v>5000</v>
      </c>
      <c r="E27" s="56"/>
    </row>
    <row r="28" spans="1:5" x14ac:dyDescent="0.3">
      <c r="A28" s="6" t="s">
        <v>1293</v>
      </c>
      <c r="B28" s="7">
        <v>5100</v>
      </c>
      <c r="C28" s="7">
        <f>B28*1.5</f>
        <v>7650</v>
      </c>
      <c r="D28" s="7">
        <v>7800</v>
      </c>
    </row>
    <row r="29" spans="1:5" x14ac:dyDescent="0.3">
      <c r="A29" s="6" t="s">
        <v>1418</v>
      </c>
      <c r="B29" s="37">
        <v>2860</v>
      </c>
      <c r="C29" s="37">
        <f>B29*1.6</f>
        <v>4576</v>
      </c>
      <c r="D29" s="7">
        <v>4700</v>
      </c>
      <c r="E29" s="37"/>
    </row>
    <row r="30" spans="1:5" x14ac:dyDescent="0.3">
      <c r="A30" s="6" t="s">
        <v>319</v>
      </c>
      <c r="B30" s="7">
        <v>3860</v>
      </c>
      <c r="C30" s="7">
        <f>B30*1.4</f>
        <v>5404</v>
      </c>
      <c r="D30" s="7">
        <v>6200</v>
      </c>
    </row>
    <row r="31" spans="1:5" x14ac:dyDescent="0.3">
      <c r="A31" s="6" t="s">
        <v>318</v>
      </c>
      <c r="B31" s="38">
        <v>3656</v>
      </c>
      <c r="C31" s="38">
        <f>B31*1.4</f>
        <v>5118.3999999999996</v>
      </c>
      <c r="D31" s="7">
        <v>5800</v>
      </c>
      <c r="E31" s="38"/>
    </row>
    <row r="32" spans="1:5" x14ac:dyDescent="0.3">
      <c r="A32" s="48" t="s">
        <v>711</v>
      </c>
      <c r="B32" s="127">
        <v>200</v>
      </c>
      <c r="C32" s="127">
        <f>B32*1.5</f>
        <v>300</v>
      </c>
      <c r="D32" s="49">
        <v>300</v>
      </c>
      <c r="E32" s="127"/>
    </row>
    <row r="33" spans="1:5" x14ac:dyDescent="0.3">
      <c r="A33" s="6" t="s">
        <v>554</v>
      </c>
      <c r="B33" s="37">
        <v>1880</v>
      </c>
      <c r="C33" s="37">
        <f>B33*1.4</f>
        <v>2632</v>
      </c>
      <c r="D33" s="7">
        <v>3150</v>
      </c>
      <c r="E33" s="37"/>
    </row>
    <row r="34" spans="1:5" x14ac:dyDescent="0.3">
      <c r="A34" s="6" t="s">
        <v>553</v>
      </c>
      <c r="B34" s="37">
        <v>18800</v>
      </c>
      <c r="C34" s="37">
        <f>B34*1.4</f>
        <v>26320</v>
      </c>
      <c r="D34" s="7">
        <v>26300</v>
      </c>
      <c r="E34" s="37">
        <v>17919</v>
      </c>
    </row>
    <row r="35" spans="1:5" x14ac:dyDescent="0.3">
      <c r="A35" s="6" t="s">
        <v>925</v>
      </c>
      <c r="B35" s="7">
        <v>21900</v>
      </c>
      <c r="C35" s="7">
        <f>B35*1.4</f>
        <v>30659.999999999996</v>
      </c>
      <c r="D35" s="7">
        <v>29600</v>
      </c>
      <c r="E35" s="7">
        <v>20150</v>
      </c>
    </row>
    <row r="36" spans="1:5" x14ac:dyDescent="0.3">
      <c r="A36" s="6" t="s">
        <v>926</v>
      </c>
      <c r="B36" s="7">
        <v>2200</v>
      </c>
      <c r="C36" s="7">
        <f>B36*1.4</f>
        <v>3080</v>
      </c>
      <c r="D36" s="7">
        <v>3350</v>
      </c>
    </row>
    <row r="37" spans="1:5" x14ac:dyDescent="0.3">
      <c r="A37" s="71" t="s">
        <v>781</v>
      </c>
      <c r="B37" s="72">
        <v>850</v>
      </c>
      <c r="C37" s="72">
        <f>B37*1.75</f>
        <v>1487.5</v>
      </c>
      <c r="D37" s="72">
        <v>1500</v>
      </c>
      <c r="E37" s="72"/>
    </row>
    <row r="38" spans="1:5" x14ac:dyDescent="0.3">
      <c r="A38" s="54" t="s">
        <v>784</v>
      </c>
      <c r="B38" s="55">
        <v>1550</v>
      </c>
      <c r="C38" s="55">
        <f>B38*1.7</f>
        <v>2635</v>
      </c>
      <c r="D38" s="55">
        <v>2600</v>
      </c>
      <c r="E38" s="55"/>
    </row>
    <row r="39" spans="1:5" x14ac:dyDescent="0.3">
      <c r="A39" s="71" t="s">
        <v>785</v>
      </c>
      <c r="B39" s="72">
        <v>2550</v>
      </c>
      <c r="C39" s="72">
        <f>B39*1.6</f>
        <v>4080</v>
      </c>
      <c r="D39" s="72">
        <v>4100</v>
      </c>
      <c r="E39" s="72"/>
    </row>
    <row r="40" spans="1:5" x14ac:dyDescent="0.3">
      <c r="A40" s="54" t="s">
        <v>782</v>
      </c>
      <c r="B40" s="55">
        <v>5000</v>
      </c>
      <c r="C40" s="55">
        <f>B40*1.5</f>
        <v>7500</v>
      </c>
      <c r="D40" s="55">
        <v>7500</v>
      </c>
      <c r="E40" s="55"/>
    </row>
    <row r="41" spans="1:5" x14ac:dyDescent="0.3">
      <c r="A41" s="71" t="s">
        <v>780</v>
      </c>
      <c r="B41" s="72">
        <v>10000</v>
      </c>
      <c r="C41" s="72">
        <f>B41*1.4</f>
        <v>14000</v>
      </c>
      <c r="D41" s="72">
        <v>14000</v>
      </c>
      <c r="E41" s="72">
        <v>10000</v>
      </c>
    </row>
    <row r="42" spans="1:5" x14ac:dyDescent="0.3">
      <c r="A42" s="85" t="s">
        <v>789</v>
      </c>
      <c r="B42" s="86">
        <v>1000</v>
      </c>
      <c r="C42" s="86">
        <f>B42*1.75</f>
        <v>1750</v>
      </c>
      <c r="D42" s="86">
        <v>1750</v>
      </c>
      <c r="E42" s="86"/>
    </row>
    <row r="43" spans="1:5" x14ac:dyDescent="0.3">
      <c r="A43" s="192" t="s">
        <v>788</v>
      </c>
      <c r="B43" s="193">
        <v>1825</v>
      </c>
      <c r="C43" s="193">
        <f>B43*1.7</f>
        <v>3102.5</v>
      </c>
      <c r="D43" s="193">
        <v>3100</v>
      </c>
      <c r="E43" s="193"/>
    </row>
    <row r="44" spans="1:5" x14ac:dyDescent="0.3">
      <c r="A44" s="120" t="s">
        <v>787</v>
      </c>
      <c r="B44" s="121">
        <v>3000</v>
      </c>
      <c r="C44" s="121">
        <f>B44*1.6</f>
        <v>4800</v>
      </c>
      <c r="D44" s="121">
        <v>4800</v>
      </c>
      <c r="E44" s="121"/>
    </row>
    <row r="45" spans="1:5" x14ac:dyDescent="0.3">
      <c r="A45" s="192" t="s">
        <v>786</v>
      </c>
      <c r="B45" s="193">
        <v>5950</v>
      </c>
      <c r="C45" s="193">
        <f>B45*1.5</f>
        <v>8925</v>
      </c>
      <c r="D45" s="193">
        <v>8900</v>
      </c>
      <c r="E45" s="193"/>
    </row>
    <row r="46" spans="1:5" x14ac:dyDescent="0.3">
      <c r="A46" s="85" t="s">
        <v>783</v>
      </c>
      <c r="B46" s="86">
        <v>11900</v>
      </c>
      <c r="C46" s="86">
        <f>B46*1.4</f>
        <v>16660</v>
      </c>
      <c r="D46" s="86">
        <v>16700</v>
      </c>
      <c r="E46" s="86">
        <v>11900</v>
      </c>
    </row>
    <row r="47" spans="1:5" x14ac:dyDescent="0.3">
      <c r="A47" s="71" t="s">
        <v>1100</v>
      </c>
      <c r="B47" s="72">
        <v>1000</v>
      </c>
      <c r="C47" s="72">
        <f>B47*1.7</f>
        <v>1700</v>
      </c>
      <c r="D47" s="72">
        <v>1700</v>
      </c>
      <c r="E47" s="72"/>
    </row>
    <row r="48" spans="1:5" x14ac:dyDescent="0.3">
      <c r="A48" s="54" t="s">
        <v>1102</v>
      </c>
      <c r="B48" s="55">
        <v>1500</v>
      </c>
      <c r="C48" s="55">
        <f>B48*1.65</f>
        <v>2475</v>
      </c>
      <c r="D48" s="55">
        <v>2500</v>
      </c>
      <c r="E48" s="55"/>
    </row>
    <row r="49" spans="1:5" x14ac:dyDescent="0.3">
      <c r="A49" s="71" t="s">
        <v>1101</v>
      </c>
      <c r="B49" s="72">
        <v>2450</v>
      </c>
      <c r="C49" s="72">
        <f>B49*1.6</f>
        <v>3920</v>
      </c>
      <c r="D49" s="72">
        <v>3900</v>
      </c>
      <c r="E49" s="72"/>
    </row>
    <row r="50" spans="1:5" x14ac:dyDescent="0.3">
      <c r="A50" s="54" t="s">
        <v>1103</v>
      </c>
      <c r="B50" s="55">
        <v>4850</v>
      </c>
      <c r="C50" s="55">
        <f>B50*1.5</f>
        <v>7275</v>
      </c>
      <c r="D50" s="55">
        <v>7300</v>
      </c>
      <c r="E50" s="55">
        <v>9600</v>
      </c>
    </row>
    <row r="51" spans="1:5" x14ac:dyDescent="0.3">
      <c r="A51" s="34" t="s">
        <v>1123</v>
      </c>
      <c r="B51" s="35">
        <v>1120</v>
      </c>
      <c r="C51" s="35">
        <f>B51*1.75</f>
        <v>1960</v>
      </c>
      <c r="D51" s="35">
        <v>1950</v>
      </c>
      <c r="E51" s="35"/>
    </row>
    <row r="52" spans="1:5" x14ac:dyDescent="0.3">
      <c r="A52" s="66" t="s">
        <v>1122</v>
      </c>
      <c r="B52" s="194">
        <v>2060</v>
      </c>
      <c r="C52" s="194">
        <f>B52*1.7</f>
        <v>3502</v>
      </c>
      <c r="D52" s="67">
        <v>3500</v>
      </c>
      <c r="E52" s="194"/>
    </row>
    <row r="53" spans="1:5" x14ac:dyDescent="0.3">
      <c r="A53" s="34" t="s">
        <v>1121</v>
      </c>
      <c r="B53" s="35">
        <v>3400</v>
      </c>
      <c r="C53" s="35">
        <f>B53*1.6</f>
        <v>5440</v>
      </c>
      <c r="D53" s="35">
        <v>5450</v>
      </c>
      <c r="E53" s="35"/>
    </row>
    <row r="54" spans="1:5" x14ac:dyDescent="0.3">
      <c r="A54" s="66" t="s">
        <v>1120</v>
      </c>
      <c r="B54" s="67">
        <v>6750</v>
      </c>
      <c r="C54" s="67">
        <f>B54*1.5</f>
        <v>10125</v>
      </c>
      <c r="D54" s="67">
        <v>10100</v>
      </c>
      <c r="E54" s="67"/>
    </row>
    <row r="55" spans="1:5" x14ac:dyDescent="0.3">
      <c r="A55" s="34" t="s">
        <v>1119</v>
      </c>
      <c r="B55" s="35">
        <v>13450</v>
      </c>
      <c r="C55" s="35">
        <f>B55*1.4</f>
        <v>18830</v>
      </c>
      <c r="D55" s="35">
        <v>18800</v>
      </c>
      <c r="E55" s="35">
        <v>13400</v>
      </c>
    </row>
    <row r="56" spans="1:5" x14ac:dyDescent="0.3">
      <c r="A56" s="48" t="s">
        <v>710</v>
      </c>
      <c r="B56" s="49">
        <v>350</v>
      </c>
      <c r="C56" s="49">
        <f>B56*1.6</f>
        <v>560</v>
      </c>
      <c r="D56" s="49">
        <v>550</v>
      </c>
      <c r="E56" s="49"/>
    </row>
    <row r="57" spans="1:5" x14ac:dyDescent="0.3">
      <c r="C57" s="7">
        <f t="shared" ref="C57:C79" si="0">B57*1.4</f>
        <v>0</v>
      </c>
    </row>
    <row r="58" spans="1:5" x14ac:dyDescent="0.3">
      <c r="C58" s="7">
        <f t="shared" si="0"/>
        <v>0</v>
      </c>
    </row>
    <row r="59" spans="1:5" x14ac:dyDescent="0.3">
      <c r="C59" s="7">
        <f t="shared" si="0"/>
        <v>0</v>
      </c>
    </row>
    <row r="60" spans="1:5" x14ac:dyDescent="0.3">
      <c r="C60" s="7">
        <f t="shared" si="0"/>
        <v>0</v>
      </c>
    </row>
    <row r="61" spans="1:5" x14ac:dyDescent="0.3">
      <c r="C61" s="7">
        <f t="shared" si="0"/>
        <v>0</v>
      </c>
    </row>
    <row r="62" spans="1:5" x14ac:dyDescent="0.3">
      <c r="C62" s="7">
        <f t="shared" si="0"/>
        <v>0</v>
      </c>
    </row>
    <row r="63" spans="1:5" x14ac:dyDescent="0.3">
      <c r="C63" s="7">
        <f t="shared" si="0"/>
        <v>0</v>
      </c>
    </row>
    <row r="64" spans="1:5" x14ac:dyDescent="0.3">
      <c r="C64" s="7">
        <f t="shared" si="0"/>
        <v>0</v>
      </c>
    </row>
    <row r="65" spans="3:3" x14ac:dyDescent="0.3">
      <c r="C65" s="7">
        <f t="shared" si="0"/>
        <v>0</v>
      </c>
    </row>
    <row r="66" spans="3:3" x14ac:dyDescent="0.3">
      <c r="C66" s="7">
        <f t="shared" si="0"/>
        <v>0</v>
      </c>
    </row>
    <row r="67" spans="3:3" x14ac:dyDescent="0.3">
      <c r="C67" s="7">
        <f t="shared" si="0"/>
        <v>0</v>
      </c>
    </row>
    <row r="68" spans="3:3" x14ac:dyDescent="0.3">
      <c r="C68" s="7">
        <f t="shared" si="0"/>
        <v>0</v>
      </c>
    </row>
    <row r="69" spans="3:3" x14ac:dyDescent="0.3">
      <c r="C69" s="7">
        <f t="shared" si="0"/>
        <v>0</v>
      </c>
    </row>
    <row r="70" spans="3:3" x14ac:dyDescent="0.3">
      <c r="C70" s="7">
        <f t="shared" si="0"/>
        <v>0</v>
      </c>
    </row>
    <row r="71" spans="3:3" x14ac:dyDescent="0.3">
      <c r="C71" s="7">
        <f t="shared" si="0"/>
        <v>0</v>
      </c>
    </row>
    <row r="72" spans="3:3" x14ac:dyDescent="0.3">
      <c r="C72" s="7">
        <f t="shared" si="0"/>
        <v>0</v>
      </c>
    </row>
    <row r="73" spans="3:3" x14ac:dyDescent="0.3">
      <c r="C73" s="7">
        <f t="shared" si="0"/>
        <v>0</v>
      </c>
    </row>
    <row r="74" spans="3:3" x14ac:dyDescent="0.3">
      <c r="C74" s="7">
        <f t="shared" si="0"/>
        <v>0</v>
      </c>
    </row>
    <row r="75" spans="3:3" x14ac:dyDescent="0.3">
      <c r="C75" s="7">
        <f t="shared" si="0"/>
        <v>0</v>
      </c>
    </row>
    <row r="76" spans="3:3" x14ac:dyDescent="0.3">
      <c r="C76" s="7">
        <f t="shared" si="0"/>
        <v>0</v>
      </c>
    </row>
    <row r="77" spans="3:3" x14ac:dyDescent="0.3">
      <c r="C77" s="7">
        <f t="shared" si="0"/>
        <v>0</v>
      </c>
    </row>
    <row r="78" spans="3:3" x14ac:dyDescent="0.3">
      <c r="C78" s="7">
        <f t="shared" si="0"/>
        <v>0</v>
      </c>
    </row>
    <row r="79" spans="3:3" x14ac:dyDescent="0.3">
      <c r="C79" s="7">
        <f t="shared" si="0"/>
        <v>0</v>
      </c>
    </row>
  </sheetData>
  <sortState xmlns:xlrd2="http://schemas.microsoft.com/office/spreadsheetml/2017/richdata2" ref="A2:F17">
    <sortCondition ref="A2:A17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74C71-B3BC-4DA0-AD06-03FA350EC4FD}">
  <sheetPr codeName="Hoja10"/>
  <dimension ref="A1:F186"/>
  <sheetViews>
    <sheetView workbookViewId="0">
      <selection activeCell="A2" sqref="A2:A185 D2:D185"/>
    </sheetView>
  </sheetViews>
  <sheetFormatPr baseColWidth="10" defaultRowHeight="14.4" x14ac:dyDescent="0.3"/>
  <cols>
    <col min="1" max="1" width="74.5546875" style="6" customWidth="1"/>
    <col min="2" max="2" width="17.88671875" style="7" bestFit="1" customWidth="1"/>
    <col min="3" max="3" width="23.33203125" style="7" bestFit="1" customWidth="1"/>
    <col min="4" max="4" width="19" style="7" bestFit="1" customWidth="1"/>
    <col min="5" max="5" width="12" bestFit="1" customWidth="1"/>
  </cols>
  <sheetData>
    <row r="1" spans="1:6" x14ac:dyDescent="0.3">
      <c r="A1" s="4" t="s">
        <v>0</v>
      </c>
      <c r="B1" s="5" t="s">
        <v>7</v>
      </c>
      <c r="C1" s="5" t="s">
        <v>1</v>
      </c>
      <c r="D1" s="5" t="s">
        <v>2</v>
      </c>
      <c r="E1" s="15" t="s">
        <v>29</v>
      </c>
    </row>
    <row r="2" spans="1:6" x14ac:dyDescent="0.3">
      <c r="A2" s="6" t="s">
        <v>803</v>
      </c>
      <c r="B2" s="7">
        <v>1200</v>
      </c>
      <c r="C2" s="7">
        <f>B2*1.5</f>
        <v>1800</v>
      </c>
      <c r="D2" s="7">
        <v>1800</v>
      </c>
      <c r="E2" s="14"/>
      <c r="F2" s="3"/>
    </row>
    <row r="3" spans="1:6" x14ac:dyDescent="0.3">
      <c r="A3" s="6" t="s">
        <v>654</v>
      </c>
      <c r="B3" s="7">
        <v>610</v>
      </c>
      <c r="C3" s="7">
        <f>B3*1.7</f>
        <v>1037</v>
      </c>
      <c r="D3" s="7">
        <v>1100</v>
      </c>
      <c r="E3" s="14"/>
    </row>
    <row r="4" spans="1:6" x14ac:dyDescent="0.3">
      <c r="A4" s="54" t="s">
        <v>631</v>
      </c>
      <c r="B4" s="55">
        <v>1000</v>
      </c>
      <c r="C4" s="55">
        <f>B4*1.4</f>
        <v>1400</v>
      </c>
      <c r="D4" s="55">
        <v>1400</v>
      </c>
      <c r="E4" s="93"/>
    </row>
    <row r="5" spans="1:6" x14ac:dyDescent="0.3">
      <c r="A5" s="6" t="s">
        <v>1333</v>
      </c>
      <c r="B5" s="7">
        <v>1200</v>
      </c>
      <c r="C5" s="7">
        <f>B5*1.6</f>
        <v>1920</v>
      </c>
      <c r="D5" s="7">
        <v>1900</v>
      </c>
      <c r="E5" s="14"/>
    </row>
    <row r="6" spans="1:6" x14ac:dyDescent="0.3">
      <c r="A6" s="6" t="s">
        <v>1332</v>
      </c>
      <c r="B6" s="7">
        <v>856</v>
      </c>
      <c r="C6" s="7">
        <f>B6*1.6</f>
        <v>1369.6000000000001</v>
      </c>
      <c r="D6" s="7">
        <v>1400</v>
      </c>
      <c r="E6" s="14"/>
    </row>
    <row r="7" spans="1:6" x14ac:dyDescent="0.3">
      <c r="A7" s="6" t="s">
        <v>547</v>
      </c>
      <c r="B7" s="7">
        <v>1500</v>
      </c>
      <c r="C7" s="7">
        <f>B7*1.4</f>
        <v>2100</v>
      </c>
      <c r="D7" s="7">
        <v>2100</v>
      </c>
      <c r="E7" s="14"/>
    </row>
    <row r="8" spans="1:6" x14ac:dyDescent="0.3">
      <c r="A8" s="50" t="s">
        <v>287</v>
      </c>
      <c r="B8" s="51">
        <v>800</v>
      </c>
      <c r="C8" s="51">
        <f>B8*1.7</f>
        <v>1360</v>
      </c>
      <c r="D8" s="51">
        <v>1400</v>
      </c>
      <c r="E8" s="94"/>
    </row>
    <row r="9" spans="1:6" x14ac:dyDescent="0.3">
      <c r="A9" s="6" t="s">
        <v>1291</v>
      </c>
      <c r="B9" s="7">
        <v>2622</v>
      </c>
      <c r="C9" s="7">
        <f>B9*1.4</f>
        <v>3670.7999999999997</v>
      </c>
      <c r="D9" s="7">
        <v>3600</v>
      </c>
      <c r="E9" s="14"/>
    </row>
    <row r="10" spans="1:6" x14ac:dyDescent="0.3">
      <c r="A10" s="54" t="s">
        <v>673</v>
      </c>
      <c r="B10" s="55">
        <v>540</v>
      </c>
      <c r="C10" s="55">
        <f>B10*1.8</f>
        <v>972</v>
      </c>
      <c r="D10" s="55">
        <v>1000</v>
      </c>
      <c r="E10" s="93">
        <v>7450</v>
      </c>
    </row>
    <row r="11" spans="1:6" x14ac:dyDescent="0.3">
      <c r="A11" s="6" t="s">
        <v>328</v>
      </c>
      <c r="B11" s="7">
        <v>2800</v>
      </c>
      <c r="C11" s="7">
        <f>B11*1.6</f>
        <v>4480</v>
      </c>
      <c r="D11" s="7">
        <v>4500</v>
      </c>
      <c r="E11" s="14"/>
    </row>
    <row r="12" spans="1:6" x14ac:dyDescent="0.3">
      <c r="A12" s="48" t="s">
        <v>548</v>
      </c>
      <c r="B12" s="49">
        <v>2250</v>
      </c>
      <c r="C12" s="49">
        <f>B12*1.5</f>
        <v>3375</v>
      </c>
      <c r="D12" s="49">
        <v>3000</v>
      </c>
      <c r="E12" s="105"/>
    </row>
    <row r="13" spans="1:6" x14ac:dyDescent="0.3">
      <c r="A13" s="48" t="s">
        <v>444</v>
      </c>
      <c r="B13" s="49">
        <v>1000</v>
      </c>
      <c r="C13" s="49">
        <f>B13*1.6</f>
        <v>1600</v>
      </c>
      <c r="D13" s="49">
        <v>1600</v>
      </c>
      <c r="E13" s="105"/>
    </row>
    <row r="14" spans="1:6" x14ac:dyDescent="0.3">
      <c r="A14" s="6" t="s">
        <v>921</v>
      </c>
      <c r="B14" s="7">
        <v>1200</v>
      </c>
      <c r="C14" s="7">
        <f>B14*1.6</f>
        <v>1920</v>
      </c>
      <c r="D14" s="7">
        <v>1900</v>
      </c>
      <c r="E14" s="14"/>
    </row>
    <row r="15" spans="1:6" x14ac:dyDescent="0.3">
      <c r="A15" s="34" t="s">
        <v>465</v>
      </c>
      <c r="B15" s="35">
        <v>1850</v>
      </c>
      <c r="C15" s="35">
        <f>B15*1.5</f>
        <v>2775</v>
      </c>
      <c r="D15" s="35">
        <v>2750</v>
      </c>
      <c r="E15" s="14"/>
    </row>
    <row r="16" spans="1:6" x14ac:dyDescent="0.3">
      <c r="A16" s="34" t="s">
        <v>466</v>
      </c>
      <c r="B16" s="35">
        <v>2900</v>
      </c>
      <c r="C16" s="35">
        <f>B16*1.5</f>
        <v>4350</v>
      </c>
      <c r="D16" s="35">
        <v>4350</v>
      </c>
      <c r="E16" s="14"/>
    </row>
    <row r="17" spans="1:5" x14ac:dyDescent="0.3">
      <c r="A17" s="34" t="s">
        <v>467</v>
      </c>
      <c r="B17" s="35">
        <v>2900</v>
      </c>
      <c r="C17" s="35">
        <f>B17*1.5</f>
        <v>4350</v>
      </c>
      <c r="D17" s="35">
        <v>4350</v>
      </c>
      <c r="E17" s="14"/>
    </row>
    <row r="18" spans="1:5" x14ac:dyDescent="0.3">
      <c r="A18" s="34" t="s">
        <v>126</v>
      </c>
      <c r="B18" s="35">
        <v>1123</v>
      </c>
      <c r="C18" s="35">
        <f>B18*1.5</f>
        <v>1684.5</v>
      </c>
      <c r="D18" s="35">
        <v>1800</v>
      </c>
      <c r="E18" s="14"/>
    </row>
    <row r="19" spans="1:5" x14ac:dyDescent="0.3">
      <c r="A19" s="34" t="s">
        <v>125</v>
      </c>
      <c r="B19" s="35">
        <v>1123</v>
      </c>
      <c r="C19" s="35">
        <f>B19*1.6</f>
        <v>1796.8000000000002</v>
      </c>
      <c r="D19" s="35">
        <v>1800</v>
      </c>
      <c r="E19" s="14"/>
    </row>
    <row r="20" spans="1:5" x14ac:dyDescent="0.3">
      <c r="A20" s="34" t="s">
        <v>203</v>
      </c>
      <c r="B20" s="35">
        <v>1650</v>
      </c>
      <c r="C20" s="35">
        <f>B20*1.6</f>
        <v>2640</v>
      </c>
      <c r="D20" s="35">
        <v>2600</v>
      </c>
      <c r="E20" s="14"/>
    </row>
    <row r="21" spans="1:5" x14ac:dyDescent="0.3">
      <c r="A21" s="64" t="s">
        <v>283</v>
      </c>
      <c r="B21" s="65">
        <v>175</v>
      </c>
      <c r="C21" s="7">
        <f>B21*1.7</f>
        <v>297.5</v>
      </c>
      <c r="D21" s="65">
        <v>350</v>
      </c>
      <c r="E21" s="108" t="s">
        <v>698</v>
      </c>
    </row>
    <row r="22" spans="1:5" x14ac:dyDescent="0.3">
      <c r="A22" s="6" t="s">
        <v>699</v>
      </c>
      <c r="B22" s="7">
        <v>7000</v>
      </c>
      <c r="C22" s="7">
        <f>B22*1.4</f>
        <v>9800</v>
      </c>
      <c r="D22" s="7">
        <v>9800</v>
      </c>
      <c r="E22" s="14"/>
    </row>
    <row r="23" spans="1:5" x14ac:dyDescent="0.3">
      <c r="A23" s="6" t="s">
        <v>1290</v>
      </c>
      <c r="B23" s="7">
        <v>3100</v>
      </c>
      <c r="C23" s="7">
        <f>B23*1.4</f>
        <v>4340</v>
      </c>
      <c r="D23" s="7">
        <v>4400</v>
      </c>
      <c r="E23" s="14"/>
    </row>
    <row r="24" spans="1:5" x14ac:dyDescent="0.3">
      <c r="A24" s="6" t="s">
        <v>1426</v>
      </c>
      <c r="B24" s="7">
        <v>1180</v>
      </c>
      <c r="C24" s="7">
        <f>B24*1.7</f>
        <v>2006</v>
      </c>
      <c r="D24" s="7">
        <v>2000</v>
      </c>
      <c r="E24" s="14"/>
    </row>
    <row r="25" spans="1:5" x14ac:dyDescent="0.3">
      <c r="A25" s="6" t="s">
        <v>1068</v>
      </c>
      <c r="B25" s="7">
        <v>990</v>
      </c>
      <c r="C25" s="7">
        <f>B25*1.7</f>
        <v>1683</v>
      </c>
      <c r="D25" s="7">
        <v>1700</v>
      </c>
      <c r="E25" s="14">
        <v>12000</v>
      </c>
    </row>
    <row r="26" spans="1:5" x14ac:dyDescent="0.3">
      <c r="A26" s="6" t="s">
        <v>985</v>
      </c>
      <c r="B26" s="7">
        <v>1760</v>
      </c>
      <c r="C26" s="7">
        <f>B26*1.5</f>
        <v>2640</v>
      </c>
      <c r="D26" s="7">
        <v>2700</v>
      </c>
      <c r="E26" s="14"/>
    </row>
    <row r="27" spans="1:5" x14ac:dyDescent="0.3">
      <c r="A27" s="6" t="s">
        <v>372</v>
      </c>
      <c r="B27" s="7">
        <v>510</v>
      </c>
      <c r="C27" s="7">
        <f>B27*1.6</f>
        <v>816</v>
      </c>
      <c r="D27" s="7">
        <v>800</v>
      </c>
      <c r="E27" s="14"/>
    </row>
    <row r="28" spans="1:5" x14ac:dyDescent="0.3">
      <c r="A28" s="6" t="s">
        <v>317</v>
      </c>
      <c r="B28" s="7">
        <v>1970</v>
      </c>
      <c r="C28" s="7">
        <f>B28*1.6</f>
        <v>3152</v>
      </c>
      <c r="D28" s="7">
        <v>3150</v>
      </c>
      <c r="E28" s="14"/>
    </row>
    <row r="29" spans="1:5" x14ac:dyDescent="0.3">
      <c r="A29" s="6" t="s">
        <v>1415</v>
      </c>
      <c r="B29" s="7">
        <v>1460</v>
      </c>
      <c r="C29" s="7">
        <f>B29*1.6</f>
        <v>2336</v>
      </c>
      <c r="D29" s="7">
        <v>2400</v>
      </c>
      <c r="E29" s="14"/>
    </row>
    <row r="30" spans="1:5" x14ac:dyDescent="0.3">
      <c r="A30" s="6" t="s">
        <v>219</v>
      </c>
      <c r="B30" s="7">
        <v>1610</v>
      </c>
      <c r="C30" s="7">
        <f>B30*1.6</f>
        <v>2576</v>
      </c>
      <c r="D30" s="7">
        <v>2500</v>
      </c>
      <c r="E30" s="14"/>
    </row>
    <row r="31" spans="1:5" x14ac:dyDescent="0.3">
      <c r="A31" s="6" t="s">
        <v>267</v>
      </c>
      <c r="B31" s="7">
        <v>1650</v>
      </c>
      <c r="C31" s="7">
        <f>B31*1.35</f>
        <v>2227.5</v>
      </c>
      <c r="D31" s="7">
        <v>2500</v>
      </c>
      <c r="E31" s="14"/>
    </row>
    <row r="32" spans="1:5" x14ac:dyDescent="0.3">
      <c r="A32" s="6" t="s">
        <v>266</v>
      </c>
      <c r="B32" s="7">
        <v>1540</v>
      </c>
      <c r="C32" s="7">
        <f>B32*1.5</f>
        <v>2310</v>
      </c>
      <c r="D32" s="7">
        <v>2300</v>
      </c>
      <c r="E32" s="14"/>
    </row>
    <row r="33" spans="1:5" x14ac:dyDescent="0.3">
      <c r="A33" s="6" t="s">
        <v>549</v>
      </c>
      <c r="B33" s="7">
        <v>1000</v>
      </c>
      <c r="C33" s="7">
        <f>B33*1.6</f>
        <v>1600</v>
      </c>
      <c r="D33" s="7">
        <v>1600</v>
      </c>
      <c r="E33" s="14"/>
    </row>
    <row r="34" spans="1:5" x14ac:dyDescent="0.3">
      <c r="A34" s="6" t="s">
        <v>1099</v>
      </c>
      <c r="B34" s="7">
        <v>1275</v>
      </c>
      <c r="C34" s="7">
        <f>B34*1.7</f>
        <v>2167.5</v>
      </c>
      <c r="D34" s="7">
        <v>2200</v>
      </c>
      <c r="E34" s="14"/>
    </row>
    <row r="35" spans="1:5" x14ac:dyDescent="0.3">
      <c r="A35" s="54" t="s">
        <v>1085</v>
      </c>
      <c r="B35" s="55">
        <v>950</v>
      </c>
      <c r="C35" s="55">
        <f>B35*1.5</f>
        <v>1425</v>
      </c>
      <c r="D35" s="55">
        <v>1200</v>
      </c>
      <c r="E35" s="93"/>
    </row>
    <row r="36" spans="1:5" x14ac:dyDescent="0.3">
      <c r="A36" s="54" t="s">
        <v>1416</v>
      </c>
      <c r="B36" s="55">
        <v>1800</v>
      </c>
      <c r="C36" s="55">
        <f>B36*1.6</f>
        <v>2880</v>
      </c>
      <c r="D36" s="55">
        <v>2800</v>
      </c>
      <c r="E36" s="93"/>
    </row>
    <row r="37" spans="1:5" x14ac:dyDescent="0.3">
      <c r="A37" s="6" t="s">
        <v>551</v>
      </c>
      <c r="B37" s="7">
        <v>1100</v>
      </c>
      <c r="C37" s="7">
        <f>B37*1.6</f>
        <v>1760</v>
      </c>
      <c r="D37" s="7">
        <v>1800</v>
      </c>
      <c r="E37" s="14"/>
    </row>
    <row r="38" spans="1:5" x14ac:dyDescent="0.3">
      <c r="A38" s="6" t="s">
        <v>550</v>
      </c>
      <c r="B38" s="7">
        <v>1400</v>
      </c>
      <c r="C38" s="7">
        <f>B38*1.5</f>
        <v>2100</v>
      </c>
      <c r="D38" s="7">
        <v>2100</v>
      </c>
      <c r="E38" s="14"/>
    </row>
    <row r="39" spans="1:5" x14ac:dyDescent="0.3">
      <c r="A39" s="6" t="s">
        <v>300</v>
      </c>
      <c r="B39" s="7">
        <v>1000</v>
      </c>
      <c r="C39" s="7">
        <f>B39*1.5</f>
        <v>1500</v>
      </c>
      <c r="D39" s="7">
        <v>1600</v>
      </c>
      <c r="E39" s="14"/>
    </row>
    <row r="40" spans="1:5" x14ac:dyDescent="0.3">
      <c r="A40" s="34" t="s">
        <v>653</v>
      </c>
      <c r="B40" s="35">
        <v>1300</v>
      </c>
      <c r="C40" s="35">
        <f>B40*1.7</f>
        <v>2210</v>
      </c>
      <c r="D40" s="35">
        <v>2200</v>
      </c>
      <c r="E40" s="73"/>
    </row>
    <row r="41" spans="1:5" x14ac:dyDescent="0.3">
      <c r="A41" s="6" t="s">
        <v>1341</v>
      </c>
      <c r="B41" s="7">
        <v>1370</v>
      </c>
      <c r="C41" s="7">
        <f>B41*1.6</f>
        <v>2192</v>
      </c>
      <c r="D41" s="7">
        <v>2200</v>
      </c>
      <c r="E41" s="14"/>
    </row>
    <row r="42" spans="1:5" x14ac:dyDescent="0.3">
      <c r="A42" s="6" t="s">
        <v>1340</v>
      </c>
      <c r="B42" s="7">
        <v>970</v>
      </c>
      <c r="C42" s="7">
        <f>B42*1.7</f>
        <v>1649</v>
      </c>
      <c r="D42" s="7">
        <v>1700</v>
      </c>
      <c r="E42" s="14"/>
    </row>
    <row r="43" spans="1:5" x14ac:dyDescent="0.3">
      <c r="A43" s="6" t="s">
        <v>1051</v>
      </c>
      <c r="B43" s="7">
        <v>700</v>
      </c>
      <c r="C43" s="7">
        <f>B43*1.6</f>
        <v>1120</v>
      </c>
      <c r="D43" s="7">
        <v>1100</v>
      </c>
      <c r="E43" s="14"/>
    </row>
    <row r="44" spans="1:5" x14ac:dyDescent="0.3">
      <c r="A44" s="6" t="s">
        <v>432</v>
      </c>
      <c r="B44" s="7">
        <v>1060</v>
      </c>
      <c r="C44" s="7">
        <f>B44*1.7</f>
        <v>1802</v>
      </c>
      <c r="D44" s="7">
        <v>1800</v>
      </c>
      <c r="E44" s="14"/>
    </row>
    <row r="45" spans="1:5" x14ac:dyDescent="0.3">
      <c r="A45" s="64" t="s">
        <v>1267</v>
      </c>
      <c r="B45" s="65">
        <v>1600</v>
      </c>
      <c r="C45" s="65">
        <f>B45*1.5</f>
        <v>2400</v>
      </c>
      <c r="D45" s="65">
        <v>2400</v>
      </c>
      <c r="E45" s="108"/>
    </row>
    <row r="46" spans="1:5" x14ac:dyDescent="0.3">
      <c r="A46" s="64" t="s">
        <v>1266</v>
      </c>
      <c r="B46" s="65">
        <v>2150</v>
      </c>
      <c r="C46" s="65">
        <f>B46*1.4</f>
        <v>3010</v>
      </c>
      <c r="D46" s="65">
        <v>2900</v>
      </c>
      <c r="E46" s="108"/>
    </row>
    <row r="47" spans="1:5" x14ac:dyDescent="0.3">
      <c r="A47" s="6" t="s">
        <v>1090</v>
      </c>
      <c r="B47" s="7">
        <v>1500</v>
      </c>
      <c r="C47" s="7">
        <f>B47*1.7</f>
        <v>2550</v>
      </c>
      <c r="D47" s="7">
        <v>2500</v>
      </c>
      <c r="E47" s="14"/>
    </row>
    <row r="48" spans="1:5" x14ac:dyDescent="0.3">
      <c r="A48" s="6" t="s">
        <v>1091</v>
      </c>
      <c r="B48" s="7">
        <v>2400</v>
      </c>
      <c r="C48" s="7">
        <f>B48*1.6</f>
        <v>3840</v>
      </c>
      <c r="D48" s="7">
        <v>3700</v>
      </c>
      <c r="E48" s="14"/>
    </row>
    <row r="49" spans="1:5" x14ac:dyDescent="0.3">
      <c r="A49" s="6" t="s">
        <v>1089</v>
      </c>
      <c r="B49" s="7">
        <v>2000</v>
      </c>
      <c r="C49" s="7">
        <f>B49*1.7</f>
        <v>3400</v>
      </c>
      <c r="D49" s="7">
        <v>3500</v>
      </c>
      <c r="E49" s="14"/>
    </row>
    <row r="50" spans="1:5" x14ac:dyDescent="0.3">
      <c r="A50" s="48" t="s">
        <v>1269</v>
      </c>
      <c r="B50" s="49">
        <v>1650</v>
      </c>
      <c r="C50" s="49">
        <f>B50*1.5</f>
        <v>2475</v>
      </c>
      <c r="D50" s="49">
        <v>2500</v>
      </c>
      <c r="E50" s="105"/>
    </row>
    <row r="51" spans="1:5" x14ac:dyDescent="0.3">
      <c r="A51" s="6" t="s">
        <v>127</v>
      </c>
      <c r="B51" s="7">
        <v>293</v>
      </c>
      <c r="C51" s="7">
        <f>B51*1.5</f>
        <v>439.5</v>
      </c>
      <c r="D51" s="7">
        <v>600</v>
      </c>
      <c r="E51" s="14"/>
    </row>
    <row r="52" spans="1:5" x14ac:dyDescent="0.3">
      <c r="A52" s="6" t="s">
        <v>709</v>
      </c>
      <c r="B52" s="7">
        <v>1450</v>
      </c>
      <c r="C52" s="7">
        <f>B52*1.7</f>
        <v>2465</v>
      </c>
      <c r="D52" s="7">
        <v>2500</v>
      </c>
    </row>
    <row r="53" spans="1:5" x14ac:dyDescent="0.3">
      <c r="A53" s="6" t="s">
        <v>707</v>
      </c>
      <c r="B53" s="7">
        <v>2800</v>
      </c>
      <c r="C53" s="7">
        <f>B53*1.5</f>
        <v>4200</v>
      </c>
      <c r="D53" s="7">
        <v>4200</v>
      </c>
      <c r="E53" s="14"/>
    </row>
    <row r="54" spans="1:5" x14ac:dyDescent="0.3">
      <c r="A54" s="6" t="s">
        <v>1265</v>
      </c>
      <c r="B54" s="7">
        <v>3100</v>
      </c>
      <c r="C54" s="7">
        <f>B54*1.3</f>
        <v>4030</v>
      </c>
      <c r="D54" s="7">
        <v>4000</v>
      </c>
      <c r="E54" s="14"/>
    </row>
    <row r="55" spans="1:5" x14ac:dyDescent="0.3">
      <c r="A55" s="54" t="s">
        <v>1427</v>
      </c>
      <c r="B55" s="55">
        <v>2260</v>
      </c>
      <c r="C55" s="55">
        <f>B55*1.6</f>
        <v>3616</v>
      </c>
      <c r="D55" s="55">
        <v>3500</v>
      </c>
      <c r="E55" s="93"/>
    </row>
    <row r="56" spans="1:5" x14ac:dyDescent="0.3">
      <c r="A56" s="6" t="s">
        <v>1428</v>
      </c>
      <c r="B56" s="7">
        <v>1190</v>
      </c>
      <c r="C56" s="7">
        <f>B56*1.7</f>
        <v>2023</v>
      </c>
      <c r="D56" s="7">
        <v>2100</v>
      </c>
      <c r="E56" s="14"/>
    </row>
    <row r="57" spans="1:5" x14ac:dyDescent="0.3">
      <c r="A57" s="6" t="s">
        <v>1268</v>
      </c>
      <c r="B57" s="7">
        <v>1700</v>
      </c>
      <c r="C57" s="7">
        <f>B57*1.5</f>
        <v>2550</v>
      </c>
      <c r="D57" s="7">
        <v>2500</v>
      </c>
      <c r="E57" s="14"/>
    </row>
    <row r="58" spans="1:5" x14ac:dyDescent="0.3">
      <c r="A58" s="6" t="s">
        <v>1346</v>
      </c>
      <c r="B58" s="7">
        <v>3780</v>
      </c>
      <c r="C58" s="7">
        <f>B58*1.6</f>
        <v>6048</v>
      </c>
      <c r="D58" s="7">
        <v>6000</v>
      </c>
      <c r="E58" s="14"/>
    </row>
    <row r="59" spans="1:5" x14ac:dyDescent="0.3">
      <c r="A59" s="6" t="s">
        <v>1140</v>
      </c>
      <c r="B59" s="7">
        <v>1290</v>
      </c>
      <c r="C59" s="7">
        <f>B59*1.6</f>
        <v>2064</v>
      </c>
      <c r="D59" s="7">
        <v>2000</v>
      </c>
      <c r="E59" s="14"/>
    </row>
    <row r="60" spans="1:5" x14ac:dyDescent="0.3">
      <c r="A60" s="6" t="s">
        <v>1060</v>
      </c>
      <c r="B60" s="7">
        <v>1300</v>
      </c>
      <c r="C60" s="7">
        <f>B60*1.7</f>
        <v>2210</v>
      </c>
      <c r="D60" s="7">
        <v>1700</v>
      </c>
      <c r="E60" s="14"/>
    </row>
    <row r="61" spans="1:5" x14ac:dyDescent="0.3">
      <c r="A61" s="71" t="s">
        <v>150</v>
      </c>
      <c r="B61" s="72">
        <v>1440</v>
      </c>
      <c r="C61" s="72">
        <f>B61*1.5</f>
        <v>2160</v>
      </c>
      <c r="D61" s="72">
        <v>2100</v>
      </c>
      <c r="E61" s="14"/>
    </row>
    <row r="62" spans="1:5" x14ac:dyDescent="0.3">
      <c r="A62" s="71" t="s">
        <v>1342</v>
      </c>
      <c r="B62" s="72">
        <v>1320</v>
      </c>
      <c r="C62" s="72">
        <f>B62*1.5</f>
        <v>1980</v>
      </c>
      <c r="D62" s="72">
        <v>2000</v>
      </c>
      <c r="E62" s="14"/>
    </row>
    <row r="63" spans="1:5" x14ac:dyDescent="0.3">
      <c r="A63" s="34" t="s">
        <v>1052</v>
      </c>
      <c r="B63" s="35">
        <v>1730</v>
      </c>
      <c r="C63" s="35">
        <f>B63*1.35</f>
        <v>2335.5</v>
      </c>
      <c r="D63" s="35">
        <v>2300</v>
      </c>
      <c r="E63" s="73"/>
    </row>
    <row r="64" spans="1:5" x14ac:dyDescent="0.3">
      <c r="A64" s="6" t="s">
        <v>1087</v>
      </c>
      <c r="B64" s="7">
        <v>1400</v>
      </c>
      <c r="C64" s="7">
        <f>B64*1.6</f>
        <v>2240</v>
      </c>
      <c r="D64" s="7">
        <v>1700</v>
      </c>
      <c r="E64" s="14"/>
    </row>
    <row r="65" spans="1:5" x14ac:dyDescent="0.3">
      <c r="A65" s="6" t="s">
        <v>101</v>
      </c>
      <c r="B65" s="7">
        <v>760</v>
      </c>
      <c r="C65" s="7">
        <f>B65*1.6</f>
        <v>1216</v>
      </c>
      <c r="D65" s="7">
        <v>1200</v>
      </c>
      <c r="E65" s="14"/>
    </row>
    <row r="66" spans="1:5" x14ac:dyDescent="0.3">
      <c r="A66" s="6" t="s">
        <v>205</v>
      </c>
      <c r="B66" s="7">
        <v>1270</v>
      </c>
      <c r="C66" s="7">
        <f>B66*1.6</f>
        <v>2032</v>
      </c>
      <c r="D66" s="7">
        <v>2000</v>
      </c>
      <c r="E66" s="14"/>
    </row>
    <row r="67" spans="1:5" x14ac:dyDescent="0.3">
      <c r="A67" s="52"/>
      <c r="B67" s="53"/>
      <c r="C67" s="53">
        <f>B67*1.6</f>
        <v>0</v>
      </c>
      <c r="D67" s="53"/>
      <c r="E67" s="95"/>
    </row>
    <row r="68" spans="1:5" x14ac:dyDescent="0.3">
      <c r="C68" s="7">
        <f>B68*1.7</f>
        <v>0</v>
      </c>
      <c r="E68" s="14"/>
    </row>
    <row r="69" spans="1:5" x14ac:dyDescent="0.3">
      <c r="C69" s="7">
        <f>B69*1.5</f>
        <v>0</v>
      </c>
      <c r="E69" s="14"/>
    </row>
    <row r="70" spans="1:5" x14ac:dyDescent="0.3">
      <c r="C70" s="7">
        <f>B70*1.5</f>
        <v>0</v>
      </c>
      <c r="E70" s="14"/>
    </row>
    <row r="71" spans="1:5" x14ac:dyDescent="0.3">
      <c r="C71" s="7">
        <f>B71*1.4</f>
        <v>0</v>
      </c>
      <c r="E71" s="14"/>
    </row>
    <row r="72" spans="1:5" x14ac:dyDescent="0.3">
      <c r="C72" s="7">
        <f>B72*1.6</f>
        <v>0</v>
      </c>
      <c r="E72" s="14"/>
    </row>
    <row r="73" spans="1:5" x14ac:dyDescent="0.3">
      <c r="C73" s="7">
        <f t="shared" ref="C73:C82" si="0">B73*1.5</f>
        <v>0</v>
      </c>
      <c r="E73" s="14"/>
    </row>
    <row r="74" spans="1:5" x14ac:dyDescent="0.3">
      <c r="A74" s="34"/>
      <c r="B74" s="35"/>
      <c r="C74" s="35">
        <f t="shared" si="0"/>
        <v>0</v>
      </c>
      <c r="D74" s="35"/>
      <c r="E74" s="73"/>
    </row>
    <row r="75" spans="1:5" x14ac:dyDescent="0.3">
      <c r="A75" s="64"/>
      <c r="B75" s="65"/>
      <c r="C75" s="65">
        <f t="shared" si="0"/>
        <v>0</v>
      </c>
      <c r="D75" s="65"/>
      <c r="E75" s="108"/>
    </row>
    <row r="76" spans="1:5" x14ac:dyDescent="0.3">
      <c r="A76" s="34"/>
      <c r="B76" s="35"/>
      <c r="C76" s="35">
        <f t="shared" si="0"/>
        <v>0</v>
      </c>
      <c r="D76" s="35"/>
      <c r="E76" s="73"/>
    </row>
    <row r="77" spans="1:5" x14ac:dyDescent="0.3">
      <c r="A77" s="64"/>
      <c r="B77" s="65"/>
      <c r="C77" s="65">
        <f t="shared" si="0"/>
        <v>0</v>
      </c>
      <c r="D77" s="65"/>
      <c r="E77" s="108"/>
    </row>
    <row r="78" spans="1:5" x14ac:dyDescent="0.3">
      <c r="A78" s="34"/>
      <c r="B78" s="35"/>
      <c r="C78" s="35">
        <f t="shared" si="0"/>
        <v>0</v>
      </c>
      <c r="D78" s="35"/>
      <c r="E78" s="73"/>
    </row>
    <row r="79" spans="1:5" x14ac:dyDescent="0.3">
      <c r="C79" s="7">
        <f t="shared" si="0"/>
        <v>0</v>
      </c>
      <c r="E79" s="14"/>
    </row>
    <row r="80" spans="1:5" x14ac:dyDescent="0.3">
      <c r="C80" s="7">
        <f t="shared" si="0"/>
        <v>0</v>
      </c>
      <c r="E80" s="14"/>
    </row>
    <row r="81" spans="1:5" x14ac:dyDescent="0.3">
      <c r="A81" s="54"/>
      <c r="B81" s="55"/>
      <c r="C81" s="55">
        <f t="shared" si="0"/>
        <v>0</v>
      </c>
      <c r="D81" s="55"/>
      <c r="E81" s="93"/>
    </row>
    <row r="82" spans="1:5" x14ac:dyDescent="0.3">
      <c r="C82" s="7">
        <f t="shared" si="0"/>
        <v>0</v>
      </c>
      <c r="E82" s="14"/>
    </row>
    <row r="83" spans="1:5" x14ac:dyDescent="0.3">
      <c r="A83" s="54"/>
      <c r="B83" s="55"/>
      <c r="C83" s="55">
        <f>B83*1.6</f>
        <v>0</v>
      </c>
      <c r="D83" s="55"/>
      <c r="E83" s="93"/>
    </row>
    <row r="84" spans="1:5" x14ac:dyDescent="0.3">
      <c r="C84" s="7">
        <f>B84*1.5</f>
        <v>0</v>
      </c>
      <c r="E84" s="14"/>
    </row>
    <row r="85" spans="1:5" x14ac:dyDescent="0.3">
      <c r="C85" s="7">
        <f>B85*1.4</f>
        <v>0</v>
      </c>
      <c r="E85" s="14"/>
    </row>
    <row r="86" spans="1:5" x14ac:dyDescent="0.3">
      <c r="A86" s="50"/>
      <c r="B86" s="51"/>
      <c r="C86" s="51">
        <f>B86*1.5</f>
        <v>0</v>
      </c>
      <c r="D86" s="51"/>
      <c r="E86" s="94"/>
    </row>
    <row r="87" spans="1:5" x14ac:dyDescent="0.3">
      <c r="A87" s="71"/>
      <c r="B87" s="72"/>
      <c r="C87" s="72">
        <f>B87*1.5</f>
        <v>0</v>
      </c>
      <c r="D87" s="72"/>
      <c r="E87" s="14"/>
    </row>
    <row r="88" spans="1:5" x14ac:dyDescent="0.3">
      <c r="A88" s="54"/>
      <c r="B88" s="55"/>
      <c r="C88" s="55">
        <f>B88*1.4</f>
        <v>0</v>
      </c>
      <c r="D88" s="55"/>
      <c r="E88" s="14"/>
    </row>
    <row r="89" spans="1:5" x14ac:dyDescent="0.3">
      <c r="A89" s="71"/>
      <c r="B89" s="72"/>
      <c r="C89" s="72">
        <f>B89*1.6</f>
        <v>0</v>
      </c>
      <c r="D89" s="72"/>
      <c r="E89" s="14"/>
    </row>
    <row r="90" spans="1:5" x14ac:dyDescent="0.3">
      <c r="A90" s="54"/>
      <c r="B90" s="55"/>
      <c r="C90" s="55">
        <f>B90*1.5</f>
        <v>0</v>
      </c>
      <c r="D90" s="55"/>
      <c r="E90" s="14"/>
    </row>
    <row r="91" spans="1:5" x14ac:dyDescent="0.3">
      <c r="A91" s="71"/>
      <c r="B91" s="72"/>
      <c r="C91" s="72">
        <f>B91*1.6</f>
        <v>0</v>
      </c>
      <c r="D91" s="72"/>
      <c r="E91" s="14"/>
    </row>
    <row r="92" spans="1:5" x14ac:dyDescent="0.3">
      <c r="A92" s="54"/>
      <c r="B92" s="55"/>
      <c r="C92" s="55">
        <f>B92*1.5</f>
        <v>0</v>
      </c>
      <c r="D92" s="55"/>
      <c r="E92" s="14"/>
    </row>
    <row r="93" spans="1:5" x14ac:dyDescent="0.3">
      <c r="A93" s="48"/>
      <c r="B93" s="49"/>
      <c r="C93" s="49">
        <f>B93*1.5</f>
        <v>0</v>
      </c>
      <c r="D93" s="49"/>
      <c r="E93" s="105"/>
    </row>
    <row r="94" spans="1:5" x14ac:dyDescent="0.3">
      <c r="A94" s="52"/>
      <c r="B94" s="53"/>
      <c r="C94" s="53">
        <f>B94*1.5</f>
        <v>0</v>
      </c>
      <c r="D94" s="53"/>
      <c r="E94" s="95"/>
    </row>
    <row r="95" spans="1:5" x14ac:dyDescent="0.3">
      <c r="A95" s="48"/>
      <c r="B95" s="49"/>
      <c r="C95" s="49">
        <f>B95*1.5</f>
        <v>0</v>
      </c>
      <c r="D95" s="49"/>
      <c r="E95" s="105"/>
    </row>
    <row r="96" spans="1:5" x14ac:dyDescent="0.3">
      <c r="A96" s="52"/>
      <c r="B96" s="53"/>
      <c r="C96" s="53">
        <f>B96*1.5</f>
        <v>0</v>
      </c>
      <c r="D96" s="53"/>
      <c r="E96" s="95"/>
    </row>
    <row r="97" spans="1:5" x14ac:dyDescent="0.3">
      <c r="A97" s="48"/>
      <c r="B97" s="49"/>
      <c r="C97" s="49">
        <f>B97*1.6</f>
        <v>0</v>
      </c>
      <c r="D97" s="49"/>
      <c r="E97" s="105"/>
    </row>
    <row r="98" spans="1:5" x14ac:dyDescent="0.3">
      <c r="C98" s="7">
        <f>B98*1.5</f>
        <v>0</v>
      </c>
      <c r="E98" s="14"/>
    </row>
    <row r="99" spans="1:5" x14ac:dyDescent="0.3">
      <c r="C99" s="7">
        <f>B99*1.5</f>
        <v>0</v>
      </c>
      <c r="E99" s="14"/>
    </row>
    <row r="100" spans="1:5" x14ac:dyDescent="0.3">
      <c r="C100" s="7">
        <f>B100*1.6</f>
        <v>0</v>
      </c>
      <c r="E100" s="14"/>
    </row>
    <row r="101" spans="1:5" x14ac:dyDescent="0.3">
      <c r="C101" s="7">
        <f>B101*1.5</f>
        <v>0</v>
      </c>
      <c r="E101" s="14"/>
    </row>
    <row r="102" spans="1:5" x14ac:dyDescent="0.3">
      <c r="C102" s="7">
        <f>B102*1.5</f>
        <v>0</v>
      </c>
      <c r="E102" s="14"/>
    </row>
    <row r="103" spans="1:5" x14ac:dyDescent="0.3">
      <c r="A103" s="50"/>
      <c r="B103" s="51"/>
      <c r="C103" s="51">
        <f>B103*1.6</f>
        <v>0</v>
      </c>
      <c r="D103" s="51"/>
      <c r="E103" s="94"/>
    </row>
    <row r="104" spans="1:5" x14ac:dyDescent="0.3">
      <c r="C104" s="7">
        <f>B104*1.5</f>
        <v>0</v>
      </c>
      <c r="E104" s="14"/>
    </row>
    <row r="105" spans="1:5" x14ac:dyDescent="0.3">
      <c r="C105" s="7">
        <f>B105*1.6</f>
        <v>0</v>
      </c>
      <c r="E105" s="14"/>
    </row>
    <row r="106" spans="1:5" x14ac:dyDescent="0.3">
      <c r="C106" s="7">
        <f>B106*1.5</f>
        <v>0</v>
      </c>
      <c r="E106" s="14"/>
    </row>
    <row r="107" spans="1:5" x14ac:dyDescent="0.3">
      <c r="C107" s="7">
        <f>B107*1.5</f>
        <v>0</v>
      </c>
      <c r="E107" s="14"/>
    </row>
    <row r="108" spans="1:5" x14ac:dyDescent="0.3">
      <c r="C108" s="7">
        <f>B108*1.5</f>
        <v>0</v>
      </c>
      <c r="E108" s="14"/>
    </row>
    <row r="109" spans="1:5" x14ac:dyDescent="0.3">
      <c r="C109" s="7">
        <f>B109*1.8</f>
        <v>0</v>
      </c>
      <c r="E109" s="14"/>
    </row>
    <row r="110" spans="1:5" x14ac:dyDescent="0.3">
      <c r="C110" s="7">
        <f>B110*1.6</f>
        <v>0</v>
      </c>
      <c r="E110" s="14"/>
    </row>
    <row r="111" spans="1:5" x14ac:dyDescent="0.3">
      <c r="A111" s="71"/>
      <c r="B111" s="72"/>
      <c r="C111" s="72">
        <f>B111*1.6</f>
        <v>0</v>
      </c>
      <c r="D111" s="72"/>
      <c r="E111" s="14"/>
    </row>
    <row r="112" spans="1:5" x14ac:dyDescent="0.3">
      <c r="C112" s="7">
        <f>B112*1.5</f>
        <v>0</v>
      </c>
      <c r="E112" s="14"/>
    </row>
    <row r="113" spans="1:5" x14ac:dyDescent="0.3">
      <c r="C113" s="7">
        <f>B113*1.5</f>
        <v>0</v>
      </c>
      <c r="D113" s="12"/>
      <c r="E113" s="14"/>
    </row>
    <row r="114" spans="1:5" x14ac:dyDescent="0.3">
      <c r="A114" s="54"/>
      <c r="B114" s="55"/>
      <c r="C114" s="55">
        <f>B114*1.5</f>
        <v>0</v>
      </c>
      <c r="D114" s="55"/>
      <c r="E114" s="93"/>
    </row>
    <row r="115" spans="1:5" x14ac:dyDescent="0.3">
      <c r="A115" s="71"/>
      <c r="B115" s="72"/>
      <c r="C115" s="72">
        <f>B115*1.6</f>
        <v>0</v>
      </c>
      <c r="D115" s="72"/>
      <c r="E115" s="83"/>
    </row>
    <row r="116" spans="1:5" x14ac:dyDescent="0.3">
      <c r="A116" s="54"/>
      <c r="B116" s="55"/>
      <c r="C116" s="55">
        <f>B116*1.6</f>
        <v>0</v>
      </c>
      <c r="D116" s="55"/>
      <c r="E116" s="93"/>
    </row>
    <row r="117" spans="1:5" x14ac:dyDescent="0.3">
      <c r="A117" s="71"/>
      <c r="B117" s="72"/>
      <c r="C117" s="72">
        <f>B117*1.5</f>
        <v>0</v>
      </c>
      <c r="D117" s="72"/>
      <c r="E117" s="83"/>
    </row>
    <row r="118" spans="1:5" x14ac:dyDescent="0.3">
      <c r="B118" s="12"/>
      <c r="C118" s="7">
        <f>B118*1.5</f>
        <v>0</v>
      </c>
      <c r="D118" s="12"/>
      <c r="E118" s="14"/>
    </row>
    <row r="119" spans="1:5" x14ac:dyDescent="0.3">
      <c r="A119" s="34"/>
      <c r="B119" s="35"/>
      <c r="C119" s="35">
        <f>B119*1.5</f>
        <v>0</v>
      </c>
      <c r="D119" s="35"/>
      <c r="E119" s="73"/>
    </row>
    <row r="120" spans="1:5" x14ac:dyDescent="0.3">
      <c r="A120" s="71"/>
      <c r="B120" s="72"/>
      <c r="C120" s="72">
        <f>B120*1.6</f>
        <v>0</v>
      </c>
      <c r="D120" s="72"/>
      <c r="E120" s="83"/>
    </row>
    <row r="121" spans="1:5" x14ac:dyDescent="0.3">
      <c r="C121" s="7">
        <f>B121*1.6</f>
        <v>0</v>
      </c>
      <c r="E121" s="14"/>
    </row>
    <row r="122" spans="1:5" x14ac:dyDescent="0.3">
      <c r="A122" s="50"/>
      <c r="B122" s="51"/>
      <c r="C122" s="51">
        <f>B122*1.5</f>
        <v>0</v>
      </c>
      <c r="D122" s="51"/>
      <c r="E122" s="94"/>
    </row>
    <row r="123" spans="1:5" x14ac:dyDescent="0.3">
      <c r="C123" s="7">
        <f>B123*1.6</f>
        <v>0</v>
      </c>
      <c r="E123" s="14"/>
    </row>
    <row r="124" spans="1:5" x14ac:dyDescent="0.3">
      <c r="A124" s="19"/>
      <c r="C124" s="7">
        <f>B124*1.5</f>
        <v>0</v>
      </c>
      <c r="E124" s="14"/>
    </row>
    <row r="125" spans="1:5" x14ac:dyDescent="0.3">
      <c r="C125" s="7">
        <f>B125*1.5</f>
        <v>0</v>
      </c>
      <c r="E125" s="14"/>
    </row>
    <row r="126" spans="1:5" x14ac:dyDescent="0.3">
      <c r="A126" s="54"/>
      <c r="B126" s="55"/>
      <c r="C126" s="55">
        <f>B126*1.5</f>
        <v>0</v>
      </c>
      <c r="D126" s="55"/>
      <c r="E126" s="93"/>
    </row>
    <row r="127" spans="1:5" x14ac:dyDescent="0.3">
      <c r="B127" s="12"/>
      <c r="C127" s="7">
        <f>B127*1.5</f>
        <v>0</v>
      </c>
      <c r="D127" s="12"/>
      <c r="E127" s="14"/>
    </row>
    <row r="128" spans="1:5" x14ac:dyDescent="0.3">
      <c r="C128" s="7">
        <f>B128*1.5</f>
        <v>0</v>
      </c>
      <c r="E128" s="14"/>
    </row>
    <row r="129" spans="1:5" x14ac:dyDescent="0.3">
      <c r="C129" s="7">
        <f>B129*1.6</f>
        <v>0</v>
      </c>
      <c r="E129" s="14"/>
    </row>
    <row r="130" spans="1:5" x14ac:dyDescent="0.3">
      <c r="C130" s="7">
        <f t="shared" ref="C130:C146" si="1">B130*1.5</f>
        <v>0</v>
      </c>
      <c r="E130" s="14"/>
    </row>
    <row r="131" spans="1:5" x14ac:dyDescent="0.3">
      <c r="C131" s="7">
        <f t="shared" si="1"/>
        <v>0</v>
      </c>
      <c r="E131" s="14"/>
    </row>
    <row r="132" spans="1:5" x14ac:dyDescent="0.3">
      <c r="C132" s="7">
        <f t="shared" si="1"/>
        <v>0</v>
      </c>
      <c r="E132" s="14"/>
    </row>
    <row r="133" spans="1:5" x14ac:dyDescent="0.3">
      <c r="C133" s="7">
        <f t="shared" si="1"/>
        <v>0</v>
      </c>
      <c r="E133" s="14"/>
    </row>
    <row r="134" spans="1:5" x14ac:dyDescent="0.3">
      <c r="C134" s="7">
        <f t="shared" si="1"/>
        <v>0</v>
      </c>
      <c r="E134" s="14"/>
    </row>
    <row r="135" spans="1:5" x14ac:dyDescent="0.3">
      <c r="C135" s="7">
        <f t="shared" si="1"/>
        <v>0</v>
      </c>
      <c r="E135" s="14"/>
    </row>
    <row r="136" spans="1:5" x14ac:dyDescent="0.3">
      <c r="A136" s="50"/>
      <c r="B136" s="51"/>
      <c r="C136" s="51">
        <f t="shared" si="1"/>
        <v>0</v>
      </c>
      <c r="D136" s="51"/>
      <c r="E136" s="94"/>
    </row>
    <row r="137" spans="1:5" x14ac:dyDescent="0.3">
      <c r="A137" s="34"/>
      <c r="B137" s="35"/>
      <c r="C137" s="35">
        <f t="shared" si="1"/>
        <v>0</v>
      </c>
      <c r="D137" s="35"/>
      <c r="E137" s="73"/>
    </row>
    <row r="138" spans="1:5" x14ac:dyDescent="0.3">
      <c r="C138" s="7">
        <f t="shared" si="1"/>
        <v>0</v>
      </c>
      <c r="E138" s="14"/>
    </row>
    <row r="139" spans="1:5" x14ac:dyDescent="0.3">
      <c r="C139" s="7">
        <f t="shared" si="1"/>
        <v>0</v>
      </c>
      <c r="E139" s="14"/>
    </row>
    <row r="140" spans="1:5" x14ac:dyDescent="0.3">
      <c r="A140" s="34"/>
      <c r="B140" s="35"/>
      <c r="C140" s="35">
        <f t="shared" si="1"/>
        <v>0</v>
      </c>
      <c r="D140" s="35"/>
      <c r="E140" s="73"/>
    </row>
    <row r="141" spans="1:5" x14ac:dyDescent="0.3">
      <c r="A141" s="34"/>
      <c r="B141" s="35"/>
      <c r="C141" s="35">
        <f t="shared" si="1"/>
        <v>0</v>
      </c>
      <c r="D141" s="35"/>
      <c r="E141" s="73"/>
    </row>
    <row r="142" spans="1:5" x14ac:dyDescent="0.3">
      <c r="A142" s="54"/>
      <c r="B142" s="55"/>
      <c r="C142" s="55">
        <f t="shared" si="1"/>
        <v>0</v>
      </c>
      <c r="D142" s="55"/>
      <c r="E142" s="93"/>
    </row>
    <row r="143" spans="1:5" x14ac:dyDescent="0.3">
      <c r="C143" s="7">
        <f t="shared" si="1"/>
        <v>0</v>
      </c>
      <c r="E143" s="14"/>
    </row>
    <row r="144" spans="1:5" x14ac:dyDescent="0.3">
      <c r="C144" s="7">
        <f t="shared" si="1"/>
        <v>0</v>
      </c>
      <c r="E144" s="14"/>
    </row>
    <row r="145" spans="1:5" x14ac:dyDescent="0.3">
      <c r="C145" s="7">
        <f t="shared" si="1"/>
        <v>0</v>
      </c>
      <c r="E145" s="14"/>
    </row>
    <row r="146" spans="1:5" x14ac:dyDescent="0.3">
      <c r="C146" s="7">
        <f t="shared" si="1"/>
        <v>0</v>
      </c>
      <c r="E146" s="14"/>
    </row>
    <row r="147" spans="1:5" x14ac:dyDescent="0.3">
      <c r="A147" s="50"/>
      <c r="B147" s="51"/>
      <c r="C147" s="51">
        <f>B147*1.6</f>
        <v>0</v>
      </c>
      <c r="D147" s="51"/>
      <c r="E147" s="94"/>
    </row>
    <row r="148" spans="1:5" x14ac:dyDescent="0.3">
      <c r="C148" s="7">
        <f t="shared" ref="C148:C155" si="2">B148*1.5</f>
        <v>0</v>
      </c>
      <c r="E148" s="14"/>
    </row>
    <row r="149" spans="1:5" x14ac:dyDescent="0.3">
      <c r="C149" s="7">
        <f t="shared" si="2"/>
        <v>0</v>
      </c>
      <c r="E149" s="14"/>
    </row>
    <row r="150" spans="1:5" x14ac:dyDescent="0.3">
      <c r="C150" s="7">
        <f t="shared" si="2"/>
        <v>0</v>
      </c>
      <c r="E150" s="14"/>
    </row>
    <row r="151" spans="1:5" x14ac:dyDescent="0.3">
      <c r="A151" s="52"/>
      <c r="B151" s="53"/>
      <c r="C151" s="53">
        <f t="shared" si="2"/>
        <v>0</v>
      </c>
      <c r="D151" s="53"/>
      <c r="E151" s="95"/>
    </row>
    <row r="152" spans="1:5" x14ac:dyDescent="0.3">
      <c r="C152" s="7">
        <f t="shared" si="2"/>
        <v>0</v>
      </c>
      <c r="E152" s="14"/>
    </row>
    <row r="153" spans="1:5" x14ac:dyDescent="0.3">
      <c r="C153" s="7">
        <f t="shared" si="2"/>
        <v>0</v>
      </c>
      <c r="E153" s="14"/>
    </row>
    <row r="154" spans="1:5" x14ac:dyDescent="0.3">
      <c r="C154" s="7">
        <f t="shared" si="2"/>
        <v>0</v>
      </c>
      <c r="E154" s="14"/>
    </row>
    <row r="155" spans="1:5" x14ac:dyDescent="0.3">
      <c r="C155" s="7">
        <f t="shared" si="2"/>
        <v>0</v>
      </c>
      <c r="E155" s="14"/>
    </row>
    <row r="156" spans="1:5" x14ac:dyDescent="0.3">
      <c r="C156" s="7">
        <f>B156*1.6</f>
        <v>0</v>
      </c>
      <c r="E156" s="14"/>
    </row>
    <row r="157" spans="1:5" x14ac:dyDescent="0.3">
      <c r="C157" s="7">
        <f t="shared" ref="C157:C162" si="3">B157*1.5</f>
        <v>0</v>
      </c>
      <c r="E157" s="14"/>
    </row>
    <row r="158" spans="1:5" x14ac:dyDescent="0.3">
      <c r="C158" s="7">
        <f t="shared" si="3"/>
        <v>0</v>
      </c>
      <c r="E158" s="14"/>
    </row>
    <row r="159" spans="1:5" x14ac:dyDescent="0.3">
      <c r="C159" s="7">
        <f t="shared" si="3"/>
        <v>0</v>
      </c>
      <c r="E159" s="14"/>
    </row>
    <row r="160" spans="1:5" x14ac:dyDescent="0.3">
      <c r="A160" s="48"/>
      <c r="B160" s="49"/>
      <c r="C160" s="49">
        <f t="shared" si="3"/>
        <v>0</v>
      </c>
      <c r="D160" s="49"/>
      <c r="E160" s="105"/>
    </row>
    <row r="161" spans="1:5" x14ac:dyDescent="0.3">
      <c r="A161" s="52"/>
      <c r="B161" s="53"/>
      <c r="C161" s="53">
        <f t="shared" si="3"/>
        <v>0</v>
      </c>
      <c r="D161" s="53"/>
      <c r="E161" s="95"/>
    </row>
    <row r="162" spans="1:5" x14ac:dyDescent="0.3">
      <c r="C162" s="7">
        <f t="shared" si="3"/>
        <v>0</v>
      </c>
      <c r="E162" s="14"/>
    </row>
    <row r="163" spans="1:5" x14ac:dyDescent="0.3">
      <c r="C163" s="7">
        <f>B163*1.6</f>
        <v>0</v>
      </c>
      <c r="E163" s="14"/>
    </row>
    <row r="164" spans="1:5" x14ac:dyDescent="0.3">
      <c r="C164" s="7">
        <f>B164*1.5</f>
        <v>0</v>
      </c>
      <c r="E164" s="14"/>
    </row>
    <row r="165" spans="1:5" x14ac:dyDescent="0.3">
      <c r="C165" s="7">
        <f>B165*1.6</f>
        <v>0</v>
      </c>
      <c r="E165" s="14"/>
    </row>
    <row r="166" spans="1:5" x14ac:dyDescent="0.3">
      <c r="C166" s="7">
        <f>B166*1.5</f>
        <v>0</v>
      </c>
      <c r="E166" s="14"/>
    </row>
    <row r="167" spans="1:5" x14ac:dyDescent="0.3">
      <c r="C167" s="7">
        <f>B167*1.5</f>
        <v>0</v>
      </c>
      <c r="E167" s="14"/>
    </row>
    <row r="168" spans="1:5" x14ac:dyDescent="0.3">
      <c r="C168" s="7">
        <f>B168*1.5</f>
        <v>0</v>
      </c>
      <c r="E168" s="14"/>
    </row>
    <row r="169" spans="1:5" x14ac:dyDescent="0.3">
      <c r="E169" s="14"/>
    </row>
    <row r="170" spans="1:5" x14ac:dyDescent="0.3">
      <c r="C170" s="7">
        <f t="shared" ref="C170:C186" si="4">B170*1.5</f>
        <v>0</v>
      </c>
      <c r="E170" s="14"/>
    </row>
    <row r="171" spans="1:5" x14ac:dyDescent="0.3">
      <c r="C171" s="7">
        <f t="shared" si="4"/>
        <v>0</v>
      </c>
      <c r="E171" s="14"/>
    </row>
    <row r="172" spans="1:5" x14ac:dyDescent="0.3">
      <c r="C172" s="7">
        <f t="shared" si="4"/>
        <v>0</v>
      </c>
      <c r="E172" s="14"/>
    </row>
    <row r="173" spans="1:5" x14ac:dyDescent="0.3">
      <c r="C173" s="7">
        <f t="shared" si="4"/>
        <v>0</v>
      </c>
      <c r="E173" s="14"/>
    </row>
    <row r="174" spans="1:5" x14ac:dyDescent="0.3">
      <c r="C174" s="7">
        <f t="shared" si="4"/>
        <v>0</v>
      </c>
      <c r="E174" s="14"/>
    </row>
    <row r="175" spans="1:5" x14ac:dyDescent="0.3">
      <c r="C175" s="7">
        <f t="shared" si="4"/>
        <v>0</v>
      </c>
      <c r="E175" s="14"/>
    </row>
    <row r="176" spans="1:5" x14ac:dyDescent="0.3">
      <c r="C176" s="7">
        <f t="shared" si="4"/>
        <v>0</v>
      </c>
      <c r="E176" s="14"/>
    </row>
    <row r="177" spans="3:5" x14ac:dyDescent="0.3">
      <c r="C177" s="7">
        <f t="shared" si="4"/>
        <v>0</v>
      </c>
      <c r="E177" s="14"/>
    </row>
    <row r="178" spans="3:5" x14ac:dyDescent="0.3">
      <c r="C178" s="7">
        <f t="shared" si="4"/>
        <v>0</v>
      </c>
      <c r="E178" s="14"/>
    </row>
    <row r="179" spans="3:5" x14ac:dyDescent="0.3">
      <c r="C179" s="7">
        <f t="shared" si="4"/>
        <v>0</v>
      </c>
      <c r="E179" s="14"/>
    </row>
    <row r="180" spans="3:5" x14ac:dyDescent="0.3">
      <c r="C180" s="7">
        <f t="shared" si="4"/>
        <v>0</v>
      </c>
      <c r="E180" s="14"/>
    </row>
    <row r="181" spans="3:5" x14ac:dyDescent="0.3">
      <c r="C181" s="7">
        <f t="shared" si="4"/>
        <v>0</v>
      </c>
      <c r="E181" s="14"/>
    </row>
    <row r="182" spans="3:5" x14ac:dyDescent="0.3">
      <c r="C182" s="7">
        <f t="shared" si="4"/>
        <v>0</v>
      </c>
      <c r="E182" s="14"/>
    </row>
    <row r="183" spans="3:5" x14ac:dyDescent="0.3">
      <c r="C183" s="7">
        <f t="shared" si="4"/>
        <v>0</v>
      </c>
      <c r="E183" s="14"/>
    </row>
    <row r="184" spans="3:5" x14ac:dyDescent="0.3">
      <c r="C184" s="7">
        <f t="shared" si="4"/>
        <v>0</v>
      </c>
      <c r="E184" s="14"/>
    </row>
    <row r="185" spans="3:5" x14ac:dyDescent="0.3">
      <c r="C185" s="7">
        <f t="shared" si="4"/>
        <v>0</v>
      </c>
      <c r="E185" s="14"/>
    </row>
    <row r="186" spans="3:5" x14ac:dyDescent="0.3">
      <c r="C186" s="7">
        <f t="shared" si="4"/>
        <v>0</v>
      </c>
      <c r="E186" s="14"/>
    </row>
  </sheetData>
  <sortState xmlns:xlrd2="http://schemas.microsoft.com/office/spreadsheetml/2017/richdata2" ref="A2:D52">
    <sortCondition ref="A2:A52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713AE-F459-4432-88E6-AFD4E064BFB3}">
  <sheetPr codeName="Hoja11"/>
  <dimension ref="A1:E80"/>
  <sheetViews>
    <sheetView workbookViewId="0">
      <selection activeCell="A2" sqref="A2:A79 D2:D79"/>
    </sheetView>
  </sheetViews>
  <sheetFormatPr baseColWidth="10" defaultRowHeight="14.4" x14ac:dyDescent="0.3"/>
  <cols>
    <col min="1" max="1" width="62.109375" style="6" customWidth="1"/>
    <col min="2" max="2" width="15.44140625" style="7" customWidth="1"/>
    <col min="3" max="3" width="20.6640625" style="7" customWidth="1"/>
    <col min="4" max="4" width="16.5546875" style="7" customWidth="1"/>
  </cols>
  <sheetData>
    <row r="1" spans="1:5" x14ac:dyDescent="0.3">
      <c r="A1" s="4" t="s">
        <v>0</v>
      </c>
      <c r="B1" s="5" t="s">
        <v>7</v>
      </c>
      <c r="C1" s="5" t="s">
        <v>1</v>
      </c>
      <c r="D1" s="5" t="s">
        <v>2</v>
      </c>
      <c r="E1" s="15" t="s">
        <v>29</v>
      </c>
    </row>
    <row r="2" spans="1:5" x14ac:dyDescent="0.3">
      <c r="A2" s="6" t="s">
        <v>193</v>
      </c>
      <c r="B2" s="7">
        <v>1522</v>
      </c>
      <c r="C2" s="7">
        <f>B2*1.5</f>
        <v>2283</v>
      </c>
      <c r="D2" s="7">
        <v>2400</v>
      </c>
      <c r="E2" s="14"/>
    </row>
    <row r="3" spans="1:5" x14ac:dyDescent="0.3">
      <c r="A3" s="6" t="s">
        <v>194</v>
      </c>
      <c r="B3" s="7">
        <v>1522</v>
      </c>
      <c r="C3" s="7">
        <f>B3*1.6</f>
        <v>2435.2000000000003</v>
      </c>
      <c r="D3" s="7">
        <v>2400</v>
      </c>
      <c r="E3" s="14"/>
    </row>
    <row r="4" spans="1:5" x14ac:dyDescent="0.3">
      <c r="A4" s="6" t="s">
        <v>195</v>
      </c>
      <c r="B4" s="7">
        <v>2500</v>
      </c>
      <c r="C4" s="7">
        <f>B4*1.4</f>
        <v>3500</v>
      </c>
      <c r="D4" s="7">
        <v>3500</v>
      </c>
      <c r="E4" s="14"/>
    </row>
    <row r="5" spans="1:5" x14ac:dyDescent="0.3">
      <c r="A5" s="6" t="s">
        <v>85</v>
      </c>
      <c r="B5" s="7">
        <v>1360</v>
      </c>
      <c r="C5" s="7">
        <f>B5*1.5</f>
        <v>2040</v>
      </c>
      <c r="D5" s="7">
        <v>2000</v>
      </c>
      <c r="E5" s="14"/>
    </row>
    <row r="6" spans="1:5" x14ac:dyDescent="0.3">
      <c r="A6" s="6" t="s">
        <v>58</v>
      </c>
      <c r="B6" s="7">
        <v>693</v>
      </c>
      <c r="C6" s="7">
        <f>B6*1.5</f>
        <v>1039.5</v>
      </c>
      <c r="D6" s="7">
        <v>1050</v>
      </c>
      <c r="E6" s="14"/>
    </row>
    <row r="7" spans="1:5" x14ac:dyDescent="0.3">
      <c r="A7" s="6" t="s">
        <v>196</v>
      </c>
      <c r="B7" s="7">
        <v>700</v>
      </c>
      <c r="C7" s="7">
        <f>B7*1.6</f>
        <v>1120</v>
      </c>
      <c r="D7" s="7">
        <v>1200</v>
      </c>
      <c r="E7" s="14"/>
    </row>
    <row r="8" spans="1:5" x14ac:dyDescent="0.3">
      <c r="A8" s="6" t="s">
        <v>909</v>
      </c>
      <c r="B8" s="7">
        <v>1300</v>
      </c>
      <c r="C8" s="7">
        <f>B8*1.6</f>
        <v>2080</v>
      </c>
      <c r="D8" s="7">
        <v>1900</v>
      </c>
      <c r="E8" s="14"/>
    </row>
    <row r="9" spans="1:5" x14ac:dyDescent="0.3">
      <c r="A9" s="6" t="s">
        <v>197</v>
      </c>
      <c r="B9" s="7">
        <v>700</v>
      </c>
      <c r="C9" s="7">
        <v>1050</v>
      </c>
      <c r="D9" s="7">
        <v>1200</v>
      </c>
      <c r="E9" s="14"/>
    </row>
    <row r="10" spans="1:5" x14ac:dyDescent="0.3">
      <c r="A10" s="48" t="s">
        <v>142</v>
      </c>
      <c r="B10" s="49">
        <v>1739</v>
      </c>
      <c r="C10" s="49">
        <f t="shared" ref="C10:C18" si="0">B10*1.5</f>
        <v>2608.5</v>
      </c>
      <c r="D10" s="49">
        <v>2400</v>
      </c>
      <c r="E10" s="105"/>
    </row>
    <row r="11" spans="1:5" x14ac:dyDescent="0.3">
      <c r="A11" s="52" t="s">
        <v>190</v>
      </c>
      <c r="B11" s="53">
        <v>1820</v>
      </c>
      <c r="C11" s="53">
        <f t="shared" si="0"/>
        <v>2730</v>
      </c>
      <c r="D11" s="53">
        <v>2700</v>
      </c>
      <c r="E11" s="95"/>
    </row>
    <row r="12" spans="1:5" x14ac:dyDescent="0.3">
      <c r="A12" s="6" t="s">
        <v>234</v>
      </c>
      <c r="B12" s="7">
        <v>660</v>
      </c>
      <c r="C12" s="7">
        <f t="shared" si="0"/>
        <v>990</v>
      </c>
      <c r="D12" s="7">
        <v>2400</v>
      </c>
      <c r="E12" s="14"/>
    </row>
    <row r="13" spans="1:5" x14ac:dyDescent="0.3">
      <c r="A13" s="6" t="s">
        <v>33</v>
      </c>
      <c r="B13" s="7">
        <v>483</v>
      </c>
      <c r="C13" s="7">
        <f t="shared" si="0"/>
        <v>724.5</v>
      </c>
      <c r="D13" s="7">
        <v>700</v>
      </c>
      <c r="E13" s="14"/>
    </row>
    <row r="14" spans="1:5" x14ac:dyDescent="0.3">
      <c r="A14" s="6" t="s">
        <v>3</v>
      </c>
      <c r="B14" s="7">
        <v>657</v>
      </c>
      <c r="C14" s="7">
        <f t="shared" si="0"/>
        <v>985.5</v>
      </c>
      <c r="D14" s="7">
        <v>900</v>
      </c>
      <c r="E14" s="14"/>
    </row>
    <row r="15" spans="1:5" x14ac:dyDescent="0.3">
      <c r="A15" s="6" t="s">
        <v>5</v>
      </c>
      <c r="B15" s="7">
        <v>657</v>
      </c>
      <c r="C15" s="7">
        <f t="shared" si="0"/>
        <v>985.5</v>
      </c>
      <c r="D15" s="7">
        <v>900</v>
      </c>
      <c r="E15" s="14"/>
    </row>
    <row r="16" spans="1:5" x14ac:dyDescent="0.3">
      <c r="A16" s="6" t="s">
        <v>4</v>
      </c>
      <c r="B16" s="7">
        <v>657</v>
      </c>
      <c r="C16" s="7">
        <f t="shared" si="0"/>
        <v>985.5</v>
      </c>
      <c r="D16" s="7">
        <v>900</v>
      </c>
      <c r="E16" s="14"/>
    </row>
    <row r="17" spans="1:5" x14ac:dyDescent="0.3">
      <c r="A17" s="6" t="s">
        <v>910</v>
      </c>
      <c r="B17" s="7">
        <v>800</v>
      </c>
      <c r="C17" s="7">
        <f>B17*1.6</f>
        <v>1280</v>
      </c>
      <c r="D17" s="7">
        <v>1300</v>
      </c>
      <c r="E17" s="14"/>
    </row>
    <row r="18" spans="1:5" x14ac:dyDescent="0.3">
      <c r="A18" s="48" t="s">
        <v>217</v>
      </c>
      <c r="B18" s="49">
        <v>450</v>
      </c>
      <c r="C18" s="49">
        <f t="shared" si="0"/>
        <v>675</v>
      </c>
      <c r="D18" s="49">
        <v>700</v>
      </c>
      <c r="E18" s="105"/>
    </row>
    <row r="19" spans="1:5" x14ac:dyDescent="0.3">
      <c r="A19" s="52" t="s">
        <v>216</v>
      </c>
      <c r="B19" s="53">
        <v>390</v>
      </c>
      <c r="C19" s="53">
        <f>B19*1.7</f>
        <v>663</v>
      </c>
      <c r="D19" s="53">
        <v>700</v>
      </c>
      <c r="E19" s="95"/>
    </row>
    <row r="20" spans="1:5" x14ac:dyDescent="0.3">
      <c r="A20" s="6" t="s">
        <v>6</v>
      </c>
      <c r="B20" s="7">
        <v>483</v>
      </c>
      <c r="C20" s="7">
        <f t="shared" ref="C20:C28" si="1">B20*1.5</f>
        <v>724.5</v>
      </c>
      <c r="D20" s="7">
        <v>700</v>
      </c>
      <c r="E20" s="14"/>
    </row>
    <row r="21" spans="1:5" x14ac:dyDescent="0.3">
      <c r="A21" s="6" t="s">
        <v>44</v>
      </c>
      <c r="B21" s="7">
        <v>332</v>
      </c>
      <c r="C21" s="7">
        <f t="shared" si="1"/>
        <v>498</v>
      </c>
      <c r="D21" s="7">
        <v>500</v>
      </c>
      <c r="E21" s="14"/>
    </row>
    <row r="22" spans="1:5" x14ac:dyDescent="0.3">
      <c r="A22" s="6" t="s">
        <v>1059</v>
      </c>
      <c r="B22" s="7">
        <v>700</v>
      </c>
      <c r="C22" s="7">
        <f t="shared" si="1"/>
        <v>1050</v>
      </c>
      <c r="D22" s="7">
        <v>850</v>
      </c>
      <c r="E22" s="14"/>
    </row>
    <row r="23" spans="1:5" x14ac:dyDescent="0.3">
      <c r="C23" s="7">
        <f t="shared" si="1"/>
        <v>0</v>
      </c>
      <c r="E23" s="14"/>
    </row>
    <row r="24" spans="1:5" x14ac:dyDescent="0.3">
      <c r="C24" s="7">
        <f t="shared" si="1"/>
        <v>0</v>
      </c>
      <c r="E24" s="14"/>
    </row>
    <row r="25" spans="1:5" x14ac:dyDescent="0.3">
      <c r="C25" s="7">
        <f t="shared" si="1"/>
        <v>0</v>
      </c>
      <c r="E25" s="14"/>
    </row>
    <row r="26" spans="1:5" x14ac:dyDescent="0.3">
      <c r="C26" s="7">
        <f t="shared" si="1"/>
        <v>0</v>
      </c>
      <c r="E26" s="14"/>
    </row>
    <row r="27" spans="1:5" x14ac:dyDescent="0.3">
      <c r="C27" s="7">
        <f t="shared" si="1"/>
        <v>0</v>
      </c>
      <c r="E27" s="14"/>
    </row>
    <row r="28" spans="1:5" x14ac:dyDescent="0.3">
      <c r="C28" s="7">
        <f t="shared" si="1"/>
        <v>0</v>
      </c>
      <c r="E28" s="14"/>
    </row>
    <row r="29" spans="1:5" x14ac:dyDescent="0.3">
      <c r="E29" s="14"/>
    </row>
    <row r="30" spans="1:5" x14ac:dyDescent="0.3">
      <c r="E30" s="14"/>
    </row>
    <row r="31" spans="1:5" x14ac:dyDescent="0.3">
      <c r="E31" s="14"/>
    </row>
    <row r="32" spans="1:5" x14ac:dyDescent="0.3">
      <c r="E32" s="14"/>
    </row>
    <row r="33" spans="5:5" x14ac:dyDescent="0.3">
      <c r="E33" s="14"/>
    </row>
    <row r="34" spans="5:5" x14ac:dyDescent="0.3">
      <c r="E34" s="14"/>
    </row>
    <row r="35" spans="5:5" x14ac:dyDescent="0.3">
      <c r="E35" s="14"/>
    </row>
    <row r="36" spans="5:5" x14ac:dyDescent="0.3">
      <c r="E36" s="14"/>
    </row>
    <row r="37" spans="5:5" x14ac:dyDescent="0.3">
      <c r="E37" s="14"/>
    </row>
    <row r="38" spans="5:5" x14ac:dyDescent="0.3">
      <c r="E38" s="14"/>
    </row>
    <row r="39" spans="5:5" x14ac:dyDescent="0.3">
      <c r="E39" s="14"/>
    </row>
    <row r="40" spans="5:5" x14ac:dyDescent="0.3">
      <c r="E40" s="14"/>
    </row>
    <row r="41" spans="5:5" x14ac:dyDescent="0.3">
      <c r="E41" s="14"/>
    </row>
    <row r="42" spans="5:5" x14ac:dyDescent="0.3">
      <c r="E42" s="14"/>
    </row>
    <row r="43" spans="5:5" x14ac:dyDescent="0.3">
      <c r="E43" s="14"/>
    </row>
    <row r="44" spans="5:5" x14ac:dyDescent="0.3">
      <c r="E44" s="14"/>
    </row>
    <row r="45" spans="5:5" x14ac:dyDescent="0.3">
      <c r="E45" s="14"/>
    </row>
    <row r="46" spans="5:5" x14ac:dyDescent="0.3">
      <c r="E46" s="14"/>
    </row>
    <row r="47" spans="5:5" x14ac:dyDescent="0.3">
      <c r="E47" s="14"/>
    </row>
    <row r="48" spans="5:5" x14ac:dyDescent="0.3">
      <c r="E48" s="14"/>
    </row>
    <row r="49" spans="5:5" x14ac:dyDescent="0.3">
      <c r="E49" s="14"/>
    </row>
    <row r="50" spans="5:5" x14ac:dyDescent="0.3">
      <c r="E50" s="14"/>
    </row>
    <row r="51" spans="5:5" x14ac:dyDescent="0.3">
      <c r="E51" s="14"/>
    </row>
    <row r="52" spans="5:5" x14ac:dyDescent="0.3">
      <c r="E52" s="14"/>
    </row>
    <row r="53" spans="5:5" x14ac:dyDescent="0.3">
      <c r="E53" s="14"/>
    </row>
    <row r="54" spans="5:5" x14ac:dyDescent="0.3">
      <c r="E54" s="14"/>
    </row>
    <row r="55" spans="5:5" x14ac:dyDescent="0.3">
      <c r="E55" s="14"/>
    </row>
    <row r="56" spans="5:5" x14ac:dyDescent="0.3">
      <c r="E56" s="14"/>
    </row>
    <row r="57" spans="5:5" x14ac:dyDescent="0.3">
      <c r="E57" s="14"/>
    </row>
    <row r="58" spans="5:5" x14ac:dyDescent="0.3">
      <c r="E58" s="14"/>
    </row>
    <row r="59" spans="5:5" x14ac:dyDescent="0.3">
      <c r="E59" s="14"/>
    </row>
    <row r="60" spans="5:5" x14ac:dyDescent="0.3">
      <c r="E60" s="14"/>
    </row>
    <row r="61" spans="5:5" x14ac:dyDescent="0.3">
      <c r="E61" s="14"/>
    </row>
    <row r="62" spans="5:5" x14ac:dyDescent="0.3">
      <c r="E62" s="14"/>
    </row>
    <row r="63" spans="5:5" x14ac:dyDescent="0.3">
      <c r="E63" s="14"/>
    </row>
    <row r="64" spans="5:5" x14ac:dyDescent="0.3">
      <c r="E64" s="14"/>
    </row>
    <row r="65" spans="5:5" x14ac:dyDescent="0.3">
      <c r="E65" s="14"/>
    </row>
    <row r="66" spans="5:5" x14ac:dyDescent="0.3">
      <c r="E66" s="14"/>
    </row>
    <row r="67" spans="5:5" x14ac:dyDescent="0.3">
      <c r="E67" s="14"/>
    </row>
    <row r="68" spans="5:5" x14ac:dyDescent="0.3">
      <c r="E68" s="14"/>
    </row>
    <row r="69" spans="5:5" x14ac:dyDescent="0.3">
      <c r="E69" s="14"/>
    </row>
    <row r="70" spans="5:5" x14ac:dyDescent="0.3">
      <c r="E70" s="14"/>
    </row>
    <row r="71" spans="5:5" x14ac:dyDescent="0.3">
      <c r="E71" s="14"/>
    </row>
    <row r="72" spans="5:5" x14ac:dyDescent="0.3">
      <c r="E72" s="14"/>
    </row>
    <row r="73" spans="5:5" x14ac:dyDescent="0.3">
      <c r="E73" s="14"/>
    </row>
    <row r="74" spans="5:5" x14ac:dyDescent="0.3">
      <c r="E74" s="14"/>
    </row>
    <row r="75" spans="5:5" x14ac:dyDescent="0.3">
      <c r="E75" s="14"/>
    </row>
    <row r="76" spans="5:5" x14ac:dyDescent="0.3">
      <c r="E76" s="14"/>
    </row>
    <row r="77" spans="5:5" x14ac:dyDescent="0.3">
      <c r="E77" s="14"/>
    </row>
    <row r="78" spans="5:5" x14ac:dyDescent="0.3">
      <c r="E78" s="14"/>
    </row>
    <row r="79" spans="5:5" x14ac:dyDescent="0.3">
      <c r="E79" s="14"/>
    </row>
    <row r="80" spans="5:5" x14ac:dyDescent="0.3">
      <c r="E80" s="14"/>
    </row>
  </sheetData>
  <sortState xmlns:xlrd2="http://schemas.microsoft.com/office/spreadsheetml/2017/richdata2" ref="A2:D9">
    <sortCondition ref="A2:A9"/>
  </sortState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022B7-3876-4867-9997-EBFC946D5FC1}">
  <sheetPr codeName="Hoja12"/>
  <dimension ref="A1:G163"/>
  <sheetViews>
    <sheetView workbookViewId="0">
      <selection activeCell="A2" sqref="A2:A162 D2:D162"/>
    </sheetView>
  </sheetViews>
  <sheetFormatPr baseColWidth="10" defaultRowHeight="14.4" x14ac:dyDescent="0.3"/>
  <cols>
    <col min="1" max="1" width="69.44140625" style="6" customWidth="1"/>
    <col min="2" max="2" width="15.44140625" style="7" customWidth="1"/>
    <col min="3" max="3" width="20.6640625" style="7" customWidth="1"/>
    <col min="4" max="4" width="16.5546875" style="7" customWidth="1"/>
  </cols>
  <sheetData>
    <row r="1" spans="1:7" x14ac:dyDescent="0.3">
      <c r="A1" s="4" t="s">
        <v>0</v>
      </c>
      <c r="B1" s="5" t="s">
        <v>7</v>
      </c>
      <c r="C1" s="5" t="s">
        <v>1</v>
      </c>
      <c r="D1" s="5" t="s">
        <v>2</v>
      </c>
      <c r="E1" s="15" t="s">
        <v>29</v>
      </c>
      <c r="F1" s="15" t="s">
        <v>30</v>
      </c>
      <c r="G1" s="15" t="s">
        <v>31</v>
      </c>
    </row>
    <row r="2" spans="1:7" x14ac:dyDescent="0.3">
      <c r="A2" s="6" t="s">
        <v>458</v>
      </c>
      <c r="B2" s="7">
        <v>2630</v>
      </c>
      <c r="C2" s="7">
        <f t="shared" ref="C2:C33" si="0">B2*1.6</f>
        <v>4208</v>
      </c>
      <c r="D2" s="7">
        <v>4200</v>
      </c>
      <c r="E2" s="14"/>
      <c r="F2" s="14"/>
      <c r="G2" s="14"/>
    </row>
    <row r="3" spans="1:7" x14ac:dyDescent="0.3">
      <c r="A3" s="52" t="s">
        <v>1277</v>
      </c>
      <c r="B3" s="53">
        <v>300</v>
      </c>
      <c r="C3" s="53">
        <f t="shared" si="0"/>
        <v>480</v>
      </c>
      <c r="D3" s="53">
        <v>500</v>
      </c>
      <c r="E3" s="95"/>
      <c r="F3" s="95"/>
      <c r="G3" s="95"/>
    </row>
    <row r="4" spans="1:7" x14ac:dyDescent="0.3">
      <c r="A4" s="6" t="s">
        <v>1276</v>
      </c>
      <c r="B4" s="7">
        <v>475</v>
      </c>
      <c r="C4" s="7">
        <f t="shared" si="0"/>
        <v>760</v>
      </c>
      <c r="D4" s="7">
        <v>750</v>
      </c>
      <c r="E4" s="14"/>
      <c r="F4" s="14"/>
      <c r="G4" s="14"/>
    </row>
    <row r="5" spans="1:7" x14ac:dyDescent="0.3">
      <c r="A5" s="52" t="s">
        <v>1275</v>
      </c>
      <c r="B5" s="53">
        <v>900</v>
      </c>
      <c r="C5" s="53">
        <f t="shared" si="0"/>
        <v>1440</v>
      </c>
      <c r="D5" s="53">
        <v>1350</v>
      </c>
      <c r="E5" s="95"/>
      <c r="F5" s="95"/>
      <c r="G5" s="95"/>
    </row>
    <row r="6" spans="1:7" x14ac:dyDescent="0.3">
      <c r="A6" s="52" t="s">
        <v>1274</v>
      </c>
      <c r="B6" s="53">
        <v>1750</v>
      </c>
      <c r="C6" s="53">
        <f t="shared" si="0"/>
        <v>2800</v>
      </c>
      <c r="D6" s="53">
        <v>2450</v>
      </c>
      <c r="E6" s="95">
        <v>1690</v>
      </c>
      <c r="F6" s="95"/>
      <c r="G6" s="95"/>
    </row>
    <row r="7" spans="1:7" x14ac:dyDescent="0.3">
      <c r="A7" s="71" t="s">
        <v>833</v>
      </c>
      <c r="B7" s="72">
        <v>525</v>
      </c>
      <c r="C7" s="72">
        <f t="shared" si="0"/>
        <v>840</v>
      </c>
      <c r="D7" s="72">
        <v>900</v>
      </c>
      <c r="E7" s="83">
        <v>2000</v>
      </c>
      <c r="F7" s="14"/>
      <c r="G7" s="14"/>
    </row>
    <row r="8" spans="1:7" x14ac:dyDescent="0.3">
      <c r="A8" s="71" t="s">
        <v>832</v>
      </c>
      <c r="B8" s="72">
        <v>1050</v>
      </c>
      <c r="C8" s="72">
        <f t="shared" si="0"/>
        <v>1680</v>
      </c>
      <c r="D8" s="72">
        <v>1700</v>
      </c>
      <c r="E8" s="83">
        <v>2000</v>
      </c>
      <c r="F8" s="14"/>
      <c r="G8" s="14"/>
    </row>
    <row r="9" spans="1:7" x14ac:dyDescent="0.3">
      <c r="A9" s="71" t="s">
        <v>831</v>
      </c>
      <c r="B9" s="72">
        <v>2100</v>
      </c>
      <c r="C9" s="72">
        <f t="shared" si="0"/>
        <v>3360</v>
      </c>
      <c r="D9" s="72">
        <v>3300</v>
      </c>
      <c r="E9" s="83">
        <v>2000</v>
      </c>
      <c r="F9" s="14"/>
      <c r="G9" s="14"/>
    </row>
    <row r="10" spans="1:7" x14ac:dyDescent="0.3">
      <c r="A10" s="87" t="s">
        <v>1127</v>
      </c>
      <c r="B10" s="88">
        <v>1400</v>
      </c>
      <c r="C10" s="88">
        <f t="shared" si="0"/>
        <v>2240</v>
      </c>
      <c r="D10" s="88">
        <v>2300</v>
      </c>
      <c r="E10" s="89">
        <v>1350</v>
      </c>
      <c r="F10" s="14"/>
      <c r="G10" s="14"/>
    </row>
    <row r="11" spans="1:7" x14ac:dyDescent="0.3">
      <c r="A11" s="98" t="s">
        <v>1128</v>
      </c>
      <c r="B11" s="99">
        <v>380</v>
      </c>
      <c r="C11" s="99">
        <f t="shared" si="0"/>
        <v>608</v>
      </c>
      <c r="D11" s="99">
        <v>700</v>
      </c>
      <c r="E11" s="115"/>
      <c r="F11" s="14"/>
      <c r="G11" s="14"/>
    </row>
    <row r="12" spans="1:7" x14ac:dyDescent="0.3">
      <c r="A12" s="87" t="s">
        <v>1129</v>
      </c>
      <c r="B12" s="88">
        <v>740</v>
      </c>
      <c r="C12" s="88">
        <f t="shared" si="0"/>
        <v>1184</v>
      </c>
      <c r="D12" s="88">
        <v>1250</v>
      </c>
      <c r="E12" s="89"/>
      <c r="F12" s="14"/>
      <c r="G12" s="14"/>
    </row>
    <row r="13" spans="1:7" x14ac:dyDescent="0.3">
      <c r="A13" s="6" t="s">
        <v>224</v>
      </c>
      <c r="B13" s="7">
        <v>2030</v>
      </c>
      <c r="C13" s="7">
        <f t="shared" si="0"/>
        <v>3248</v>
      </c>
      <c r="D13" s="7">
        <v>3450</v>
      </c>
      <c r="E13" s="14"/>
      <c r="F13" s="14"/>
      <c r="G13" s="14"/>
    </row>
    <row r="14" spans="1:7" x14ac:dyDescent="0.3">
      <c r="A14" s="6" t="s">
        <v>312</v>
      </c>
      <c r="B14" s="7">
        <v>3950</v>
      </c>
      <c r="C14" s="7">
        <f t="shared" si="0"/>
        <v>6320</v>
      </c>
      <c r="D14" s="7">
        <v>5500</v>
      </c>
      <c r="E14" s="14"/>
      <c r="F14" s="14"/>
      <c r="G14" s="14"/>
    </row>
    <row r="15" spans="1:7" x14ac:dyDescent="0.3">
      <c r="A15" s="6" t="s">
        <v>314</v>
      </c>
      <c r="B15" s="7">
        <v>1025</v>
      </c>
      <c r="C15" s="7">
        <f t="shared" si="0"/>
        <v>1640</v>
      </c>
      <c r="D15" s="7">
        <v>1650</v>
      </c>
      <c r="E15" s="14"/>
      <c r="F15" s="14"/>
      <c r="G15" s="14"/>
    </row>
    <row r="16" spans="1:7" x14ac:dyDescent="0.3">
      <c r="A16" s="6" t="s">
        <v>313</v>
      </c>
      <c r="B16" s="7">
        <v>2000</v>
      </c>
      <c r="C16" s="7">
        <f t="shared" si="0"/>
        <v>3200</v>
      </c>
      <c r="D16" s="7">
        <v>3000</v>
      </c>
      <c r="E16" s="14"/>
      <c r="F16" s="14"/>
      <c r="G16" s="14"/>
    </row>
    <row r="17" spans="1:7" x14ac:dyDescent="0.3">
      <c r="A17" s="34" t="s">
        <v>668</v>
      </c>
      <c r="B17" s="35">
        <v>400</v>
      </c>
      <c r="C17" s="35">
        <f t="shared" si="0"/>
        <v>640</v>
      </c>
      <c r="D17" s="35">
        <v>700</v>
      </c>
      <c r="E17" s="73"/>
      <c r="F17" s="14"/>
      <c r="G17" s="14"/>
    </row>
    <row r="18" spans="1:7" x14ac:dyDescent="0.3">
      <c r="A18" s="64" t="s">
        <v>667</v>
      </c>
      <c r="B18" s="65">
        <v>750</v>
      </c>
      <c r="C18" s="65">
        <f t="shared" si="0"/>
        <v>1200</v>
      </c>
      <c r="D18" s="65">
        <v>1250</v>
      </c>
      <c r="E18" s="108"/>
      <c r="F18" s="14"/>
      <c r="G18" s="14"/>
    </row>
    <row r="19" spans="1:7" x14ac:dyDescent="0.3">
      <c r="A19" s="64" t="s">
        <v>666</v>
      </c>
      <c r="B19" s="65">
        <v>1450</v>
      </c>
      <c r="C19" s="65">
        <f t="shared" si="0"/>
        <v>2320</v>
      </c>
      <c r="D19" s="65">
        <v>2300</v>
      </c>
      <c r="E19" s="108">
        <v>1400</v>
      </c>
      <c r="F19" s="14"/>
      <c r="G19" s="14"/>
    </row>
    <row r="20" spans="1:7" x14ac:dyDescent="0.3">
      <c r="A20" s="6" t="s">
        <v>71</v>
      </c>
      <c r="B20" s="7">
        <v>1535</v>
      </c>
      <c r="C20" s="7">
        <f t="shared" si="0"/>
        <v>2456</v>
      </c>
      <c r="D20" s="7">
        <v>2600</v>
      </c>
      <c r="E20" s="14"/>
      <c r="F20" s="14"/>
      <c r="G20" s="14"/>
    </row>
    <row r="21" spans="1:7" x14ac:dyDescent="0.3">
      <c r="A21" s="6" t="s">
        <v>72</v>
      </c>
      <c r="B21" s="7">
        <v>1233</v>
      </c>
      <c r="C21" s="7">
        <f t="shared" si="0"/>
        <v>1972.8000000000002</v>
      </c>
      <c r="D21" s="7">
        <v>2100</v>
      </c>
      <c r="E21" s="14"/>
      <c r="F21" s="14"/>
      <c r="G21" s="14"/>
    </row>
    <row r="22" spans="1:7" x14ac:dyDescent="0.3">
      <c r="A22" s="6" t="s">
        <v>73</v>
      </c>
      <c r="B22" s="7">
        <v>1417</v>
      </c>
      <c r="C22" s="7">
        <f t="shared" si="0"/>
        <v>2267.2000000000003</v>
      </c>
      <c r="D22" s="7">
        <v>2400</v>
      </c>
      <c r="E22" s="14"/>
      <c r="F22" s="14"/>
      <c r="G22" s="14"/>
    </row>
    <row r="23" spans="1:7" x14ac:dyDescent="0.3">
      <c r="A23" s="6" t="s">
        <v>877</v>
      </c>
      <c r="B23" s="7">
        <v>3300</v>
      </c>
      <c r="C23" s="7">
        <f t="shared" si="0"/>
        <v>5280</v>
      </c>
      <c r="D23" s="7">
        <v>4900</v>
      </c>
      <c r="E23" s="14"/>
      <c r="F23" s="14"/>
      <c r="G23" s="14"/>
    </row>
    <row r="24" spans="1:7" x14ac:dyDescent="0.3">
      <c r="A24" s="34" t="s">
        <v>76</v>
      </c>
      <c r="B24" s="35">
        <v>4315</v>
      </c>
      <c r="C24" s="35">
        <f t="shared" si="0"/>
        <v>6904</v>
      </c>
      <c r="D24" s="35">
        <v>6400</v>
      </c>
      <c r="E24" s="14"/>
      <c r="F24" s="14"/>
      <c r="G24" s="14"/>
    </row>
    <row r="25" spans="1:7" x14ac:dyDescent="0.3">
      <c r="A25" s="34" t="s">
        <v>77</v>
      </c>
      <c r="B25" s="35">
        <v>4160</v>
      </c>
      <c r="C25" s="35">
        <f t="shared" si="0"/>
        <v>6656</v>
      </c>
      <c r="D25" s="35">
        <v>6250</v>
      </c>
      <c r="E25" s="14"/>
      <c r="F25" s="14"/>
      <c r="G25" s="14"/>
    </row>
    <row r="26" spans="1:7" x14ac:dyDescent="0.3">
      <c r="A26" s="64" t="s">
        <v>79</v>
      </c>
      <c r="B26" s="65">
        <v>5491</v>
      </c>
      <c r="C26" s="65">
        <f t="shared" si="0"/>
        <v>8785.6</v>
      </c>
      <c r="D26" s="65">
        <v>8200</v>
      </c>
      <c r="E26" s="14"/>
      <c r="F26" s="14"/>
      <c r="G26" s="14"/>
    </row>
    <row r="27" spans="1:7" x14ac:dyDescent="0.3">
      <c r="A27" s="64" t="s">
        <v>78</v>
      </c>
      <c r="B27" s="65">
        <v>2000</v>
      </c>
      <c r="C27" s="65">
        <f t="shared" si="0"/>
        <v>3200</v>
      </c>
      <c r="D27" s="65">
        <v>3000</v>
      </c>
      <c r="E27" s="14"/>
      <c r="F27" s="14"/>
      <c r="G27" s="14"/>
    </row>
    <row r="28" spans="1:7" x14ac:dyDescent="0.3">
      <c r="A28" s="34" t="s">
        <v>75</v>
      </c>
      <c r="B28" s="35">
        <v>2280</v>
      </c>
      <c r="C28" s="35">
        <f t="shared" si="0"/>
        <v>3648</v>
      </c>
      <c r="D28" s="35">
        <v>3400</v>
      </c>
      <c r="E28" s="14"/>
      <c r="F28" s="14"/>
      <c r="G28" s="14"/>
    </row>
    <row r="29" spans="1:7" x14ac:dyDescent="0.3">
      <c r="A29" s="64" t="s">
        <v>74</v>
      </c>
      <c r="B29" s="65"/>
      <c r="C29" s="65">
        <f t="shared" si="0"/>
        <v>0</v>
      </c>
      <c r="D29" s="65">
        <v>2200</v>
      </c>
      <c r="E29" s="14"/>
      <c r="F29" s="14"/>
      <c r="G29" s="14"/>
    </row>
    <row r="30" spans="1:7" x14ac:dyDescent="0.3">
      <c r="A30" s="6" t="s">
        <v>981</v>
      </c>
      <c r="B30" s="7">
        <v>10600</v>
      </c>
      <c r="C30" s="7">
        <f t="shared" si="0"/>
        <v>16960</v>
      </c>
      <c r="D30" s="7">
        <v>14900</v>
      </c>
      <c r="E30" s="14"/>
      <c r="F30" s="14"/>
      <c r="G30" s="14"/>
    </row>
    <row r="31" spans="1:7" x14ac:dyDescent="0.3">
      <c r="A31" s="6" t="s">
        <v>322</v>
      </c>
      <c r="B31" s="7">
        <v>7690</v>
      </c>
      <c r="C31" s="7">
        <f t="shared" si="0"/>
        <v>12304</v>
      </c>
      <c r="D31" s="7">
        <v>12500</v>
      </c>
      <c r="E31" s="14"/>
      <c r="F31" s="14"/>
      <c r="G31" s="14"/>
    </row>
    <row r="32" spans="1:7" x14ac:dyDescent="0.3">
      <c r="A32" s="6" t="s">
        <v>8</v>
      </c>
      <c r="B32" s="7">
        <v>500</v>
      </c>
      <c r="C32" s="7">
        <f t="shared" si="0"/>
        <v>800</v>
      </c>
      <c r="D32" s="7">
        <v>750</v>
      </c>
      <c r="E32" s="14" t="s">
        <v>26</v>
      </c>
      <c r="F32" s="14"/>
      <c r="G32" s="14"/>
    </row>
    <row r="33" spans="1:7" x14ac:dyDescent="0.3">
      <c r="A33" s="6" t="s">
        <v>368</v>
      </c>
      <c r="B33" s="7">
        <v>1500</v>
      </c>
      <c r="C33" s="7">
        <f t="shared" si="0"/>
        <v>2400</v>
      </c>
      <c r="D33" s="7">
        <v>2000</v>
      </c>
      <c r="E33" s="14"/>
      <c r="F33" s="14"/>
      <c r="G33" s="14"/>
    </row>
    <row r="34" spans="1:7" x14ac:dyDescent="0.3">
      <c r="A34" s="50" t="s">
        <v>982</v>
      </c>
      <c r="B34" s="51">
        <v>2320</v>
      </c>
      <c r="C34" s="51">
        <f t="shared" ref="C34:C65" si="1">B34*1.6</f>
        <v>3712</v>
      </c>
      <c r="D34" s="51">
        <v>3500</v>
      </c>
      <c r="E34" s="14"/>
      <c r="F34" s="14"/>
      <c r="G34" s="14"/>
    </row>
    <row r="35" spans="1:7" x14ac:dyDescent="0.3">
      <c r="A35" s="50" t="s">
        <v>983</v>
      </c>
      <c r="B35" s="51">
        <v>3440</v>
      </c>
      <c r="C35" s="51">
        <f t="shared" si="1"/>
        <v>5504</v>
      </c>
      <c r="D35" s="51">
        <v>5200</v>
      </c>
      <c r="E35" s="14"/>
      <c r="F35" s="14"/>
      <c r="G35" s="14"/>
    </row>
    <row r="36" spans="1:7" x14ac:dyDescent="0.3">
      <c r="A36" s="6" t="s">
        <v>1241</v>
      </c>
      <c r="B36" s="7">
        <v>5150</v>
      </c>
      <c r="C36" s="7">
        <f t="shared" si="1"/>
        <v>8240</v>
      </c>
      <c r="D36" s="7">
        <v>8300</v>
      </c>
      <c r="E36" s="14"/>
      <c r="F36" s="14"/>
      <c r="G36" s="14"/>
    </row>
    <row r="37" spans="1:7" x14ac:dyDescent="0.3">
      <c r="A37" s="54" t="s">
        <v>958</v>
      </c>
      <c r="B37" s="55">
        <v>3720</v>
      </c>
      <c r="C37" s="55">
        <f t="shared" si="1"/>
        <v>5952</v>
      </c>
      <c r="D37" s="55">
        <v>4900</v>
      </c>
      <c r="E37" s="93"/>
      <c r="F37" s="14"/>
      <c r="G37" s="14"/>
    </row>
    <row r="38" spans="1:7" x14ac:dyDescent="0.3">
      <c r="A38" s="54" t="s">
        <v>812</v>
      </c>
      <c r="B38" s="55">
        <v>2700</v>
      </c>
      <c r="C38" s="55">
        <f t="shared" si="1"/>
        <v>4320</v>
      </c>
      <c r="D38" s="55">
        <v>4200</v>
      </c>
      <c r="E38" s="93"/>
      <c r="F38" s="14"/>
      <c r="G38" s="14"/>
    </row>
    <row r="39" spans="1:7" x14ac:dyDescent="0.3">
      <c r="A39" s="68" t="s">
        <v>104</v>
      </c>
      <c r="B39" s="69">
        <v>1000</v>
      </c>
      <c r="C39" s="69">
        <f t="shared" si="1"/>
        <v>1600</v>
      </c>
      <c r="D39" s="69">
        <v>1600</v>
      </c>
      <c r="E39" s="14"/>
      <c r="F39" s="14"/>
      <c r="G39" s="14"/>
    </row>
    <row r="40" spans="1:7" x14ac:dyDescent="0.3">
      <c r="A40" s="68" t="s">
        <v>434</v>
      </c>
      <c r="B40" s="69">
        <v>1500</v>
      </c>
      <c r="C40" s="69">
        <f t="shared" si="1"/>
        <v>2400</v>
      </c>
      <c r="D40" s="69">
        <v>2400</v>
      </c>
      <c r="E40" s="14"/>
      <c r="F40" s="14"/>
      <c r="G40" s="14"/>
    </row>
    <row r="41" spans="1:7" x14ac:dyDescent="0.3">
      <c r="A41" s="64" t="s">
        <v>347</v>
      </c>
      <c r="B41" s="65">
        <v>6500</v>
      </c>
      <c r="C41" s="65">
        <f t="shared" si="1"/>
        <v>10400</v>
      </c>
      <c r="D41" s="65">
        <v>7500</v>
      </c>
      <c r="E41" s="14"/>
      <c r="F41" s="14"/>
      <c r="G41" s="14"/>
    </row>
    <row r="42" spans="1:7" x14ac:dyDescent="0.3">
      <c r="A42" s="34" t="s">
        <v>348</v>
      </c>
      <c r="B42" s="35">
        <v>3000</v>
      </c>
      <c r="C42" s="35">
        <f t="shared" si="1"/>
        <v>4800</v>
      </c>
      <c r="D42" s="35">
        <v>4000</v>
      </c>
      <c r="E42" s="14"/>
      <c r="F42" s="14"/>
      <c r="G42" s="14"/>
    </row>
    <row r="43" spans="1:7" x14ac:dyDescent="0.3">
      <c r="A43" s="64" t="s">
        <v>349</v>
      </c>
      <c r="B43" s="65">
        <v>3000</v>
      </c>
      <c r="C43" s="65">
        <f t="shared" si="1"/>
        <v>4800</v>
      </c>
      <c r="D43" s="65">
        <v>4000</v>
      </c>
      <c r="E43" s="14"/>
      <c r="F43" s="14"/>
      <c r="G43" s="14"/>
    </row>
    <row r="44" spans="1:7" x14ac:dyDescent="0.3">
      <c r="A44" s="34" t="s">
        <v>350</v>
      </c>
      <c r="B44" s="35">
        <v>700</v>
      </c>
      <c r="C44" s="35">
        <f t="shared" si="1"/>
        <v>1120</v>
      </c>
      <c r="D44" s="35">
        <v>1200</v>
      </c>
      <c r="E44" s="14"/>
      <c r="F44" s="14"/>
      <c r="G44" s="14"/>
    </row>
    <row r="45" spans="1:7" x14ac:dyDescent="0.3">
      <c r="A45" s="6" t="s">
        <v>187</v>
      </c>
      <c r="B45" s="7">
        <v>1200</v>
      </c>
      <c r="C45" s="7">
        <f t="shared" si="1"/>
        <v>1920</v>
      </c>
      <c r="D45" s="7">
        <v>2050</v>
      </c>
      <c r="E45" s="14"/>
      <c r="F45" s="14"/>
      <c r="G45" s="14"/>
    </row>
    <row r="46" spans="1:7" x14ac:dyDescent="0.3">
      <c r="A46" s="6" t="s">
        <v>38</v>
      </c>
      <c r="C46" s="7">
        <f t="shared" si="1"/>
        <v>0</v>
      </c>
      <c r="D46" s="7">
        <v>5000</v>
      </c>
      <c r="E46" s="14"/>
      <c r="F46" s="14"/>
      <c r="G46" s="14"/>
    </row>
    <row r="47" spans="1:7" x14ac:dyDescent="0.3">
      <c r="A47" s="6" t="s">
        <v>433</v>
      </c>
      <c r="B47" s="7">
        <v>1590</v>
      </c>
      <c r="C47" s="7">
        <f t="shared" si="1"/>
        <v>2544</v>
      </c>
      <c r="D47" s="7">
        <v>2600</v>
      </c>
      <c r="E47" s="14"/>
      <c r="F47" s="14"/>
      <c r="G47" s="14"/>
    </row>
    <row r="48" spans="1:7" x14ac:dyDescent="0.3">
      <c r="A48" s="6" t="s">
        <v>93</v>
      </c>
      <c r="B48" s="7">
        <v>3100</v>
      </c>
      <c r="C48" s="7">
        <f t="shared" si="1"/>
        <v>4960</v>
      </c>
      <c r="D48" s="7">
        <v>6000</v>
      </c>
      <c r="E48" s="14"/>
      <c r="F48" s="14"/>
      <c r="G48" s="14"/>
    </row>
    <row r="49" spans="1:7" x14ac:dyDescent="0.3">
      <c r="A49" s="6" t="s">
        <v>34</v>
      </c>
      <c r="B49" s="7">
        <v>9999999</v>
      </c>
      <c r="C49" s="7">
        <f t="shared" si="1"/>
        <v>15999998.4</v>
      </c>
      <c r="D49" s="7">
        <v>999999</v>
      </c>
      <c r="E49" s="14"/>
      <c r="F49" s="14"/>
      <c r="G49" s="14"/>
    </row>
    <row r="50" spans="1:7" x14ac:dyDescent="0.3">
      <c r="A50" s="6" t="s">
        <v>345</v>
      </c>
      <c r="B50" s="7">
        <v>1910</v>
      </c>
      <c r="C50" s="7">
        <f t="shared" si="1"/>
        <v>3056</v>
      </c>
      <c r="D50" s="7">
        <v>3000</v>
      </c>
      <c r="E50" s="14"/>
      <c r="F50" s="14"/>
      <c r="G50" s="14"/>
    </row>
    <row r="51" spans="1:7" x14ac:dyDescent="0.3">
      <c r="A51" s="6" t="s">
        <v>1336</v>
      </c>
      <c r="B51" s="7">
        <v>2690</v>
      </c>
      <c r="C51" s="7">
        <f t="shared" si="1"/>
        <v>4304</v>
      </c>
      <c r="D51" s="7">
        <v>3900</v>
      </c>
      <c r="E51" s="14"/>
      <c r="F51" s="14"/>
      <c r="G51" s="14"/>
    </row>
    <row r="52" spans="1:7" x14ac:dyDescent="0.3">
      <c r="A52" s="6" t="s">
        <v>346</v>
      </c>
      <c r="B52" s="7">
        <v>2150</v>
      </c>
      <c r="C52" s="7">
        <f t="shared" si="1"/>
        <v>3440</v>
      </c>
      <c r="D52" s="7">
        <v>3400</v>
      </c>
      <c r="E52" s="14"/>
      <c r="F52" s="14"/>
      <c r="G52" s="14"/>
    </row>
    <row r="53" spans="1:7" x14ac:dyDescent="0.3">
      <c r="A53" s="6" t="s">
        <v>351</v>
      </c>
      <c r="B53" s="7">
        <v>1910</v>
      </c>
      <c r="C53" s="7">
        <f t="shared" si="1"/>
        <v>3056</v>
      </c>
      <c r="D53" s="7">
        <v>3000</v>
      </c>
      <c r="E53" s="14"/>
      <c r="F53" s="14"/>
      <c r="G53" s="14"/>
    </row>
    <row r="54" spans="1:7" x14ac:dyDescent="0.3">
      <c r="A54" s="6" t="s">
        <v>344</v>
      </c>
      <c r="B54" s="7">
        <v>1750</v>
      </c>
      <c r="C54" s="7">
        <f t="shared" si="1"/>
        <v>2800</v>
      </c>
      <c r="D54" s="7">
        <v>2800</v>
      </c>
      <c r="E54" s="14"/>
      <c r="F54" s="14"/>
      <c r="G54" s="14"/>
    </row>
    <row r="55" spans="1:7" x14ac:dyDescent="0.3">
      <c r="A55" s="6" t="s">
        <v>532</v>
      </c>
      <c r="B55" s="7">
        <v>2150</v>
      </c>
      <c r="C55" s="7">
        <f t="shared" si="1"/>
        <v>3440</v>
      </c>
      <c r="D55" s="7">
        <v>3500</v>
      </c>
      <c r="E55" s="14"/>
      <c r="F55" s="14"/>
      <c r="G55" s="14"/>
    </row>
    <row r="56" spans="1:7" x14ac:dyDescent="0.3">
      <c r="A56" s="6" t="s">
        <v>352</v>
      </c>
      <c r="B56" s="7">
        <v>2390</v>
      </c>
      <c r="C56" s="7">
        <f t="shared" si="1"/>
        <v>3824</v>
      </c>
      <c r="D56" s="7">
        <v>3800</v>
      </c>
      <c r="E56" s="14"/>
      <c r="F56" s="14"/>
      <c r="G56" s="14"/>
    </row>
    <row r="57" spans="1:7" x14ac:dyDescent="0.3">
      <c r="A57" s="6" t="s">
        <v>353</v>
      </c>
      <c r="B57" s="7">
        <v>2150</v>
      </c>
      <c r="C57" s="7">
        <f t="shared" si="1"/>
        <v>3440</v>
      </c>
      <c r="D57" s="7">
        <v>3400</v>
      </c>
      <c r="E57" s="14"/>
      <c r="F57" s="14"/>
      <c r="G57" s="14"/>
    </row>
    <row r="58" spans="1:7" x14ac:dyDescent="0.3">
      <c r="A58" s="34" t="s">
        <v>57</v>
      </c>
      <c r="B58" s="35">
        <v>1260</v>
      </c>
      <c r="C58" s="7">
        <f t="shared" si="1"/>
        <v>2016</v>
      </c>
      <c r="D58" s="35">
        <v>2140</v>
      </c>
      <c r="E58" s="14"/>
      <c r="F58" s="14"/>
      <c r="G58" s="14"/>
    </row>
    <row r="59" spans="1:7" x14ac:dyDescent="0.3">
      <c r="A59" s="34" t="s">
        <v>55</v>
      </c>
      <c r="B59" s="35">
        <v>2160</v>
      </c>
      <c r="C59" s="7">
        <f t="shared" si="1"/>
        <v>3456</v>
      </c>
      <c r="D59" s="35">
        <v>2500</v>
      </c>
      <c r="E59" s="14"/>
      <c r="F59" s="14"/>
      <c r="G59" s="14"/>
    </row>
    <row r="60" spans="1:7" x14ac:dyDescent="0.3">
      <c r="A60" s="34" t="s">
        <v>56</v>
      </c>
      <c r="B60" s="35">
        <v>2160</v>
      </c>
      <c r="C60" s="7">
        <f t="shared" si="1"/>
        <v>3456</v>
      </c>
      <c r="D60" s="35">
        <v>2500</v>
      </c>
      <c r="E60" s="14"/>
      <c r="F60" s="14"/>
      <c r="G60" s="14"/>
    </row>
    <row r="61" spans="1:7" x14ac:dyDescent="0.3">
      <c r="A61" s="71" t="s">
        <v>102</v>
      </c>
      <c r="B61" s="72">
        <v>2370</v>
      </c>
      <c r="C61" s="7">
        <f t="shared" si="1"/>
        <v>3792</v>
      </c>
      <c r="D61" s="72">
        <v>3550</v>
      </c>
      <c r="E61" s="14"/>
      <c r="F61" s="14"/>
      <c r="G61" s="14"/>
    </row>
    <row r="62" spans="1:7" x14ac:dyDescent="0.3">
      <c r="A62" s="6" t="s">
        <v>218</v>
      </c>
      <c r="B62" s="7">
        <v>954</v>
      </c>
      <c r="C62" s="7">
        <f t="shared" si="1"/>
        <v>1526.4</v>
      </c>
      <c r="D62" s="7">
        <v>1600</v>
      </c>
      <c r="E62" s="14"/>
      <c r="F62" s="14"/>
      <c r="G62" s="14"/>
    </row>
    <row r="63" spans="1:7" x14ac:dyDescent="0.3">
      <c r="A63" s="6" t="s">
        <v>908</v>
      </c>
      <c r="B63" s="7">
        <v>1140</v>
      </c>
      <c r="C63" s="7">
        <f t="shared" si="1"/>
        <v>1824</v>
      </c>
      <c r="D63" s="7">
        <v>1800</v>
      </c>
      <c r="E63" s="14"/>
      <c r="F63" s="14"/>
      <c r="G63" s="14"/>
    </row>
    <row r="64" spans="1:7" x14ac:dyDescent="0.3">
      <c r="A64" s="6" t="s">
        <v>505</v>
      </c>
      <c r="B64" s="7">
        <v>2700</v>
      </c>
      <c r="C64" s="7">
        <f t="shared" si="1"/>
        <v>4320</v>
      </c>
      <c r="D64" s="7">
        <v>4000</v>
      </c>
      <c r="E64" s="14"/>
      <c r="F64" s="14"/>
      <c r="G64" s="14"/>
    </row>
    <row r="65" spans="1:7" x14ac:dyDescent="0.3">
      <c r="A65" s="71" t="s">
        <v>46</v>
      </c>
      <c r="B65" s="72">
        <v>1065</v>
      </c>
      <c r="C65" s="7">
        <f t="shared" si="1"/>
        <v>1704</v>
      </c>
      <c r="D65" s="72">
        <v>1800</v>
      </c>
      <c r="E65" s="14"/>
      <c r="F65" s="14"/>
      <c r="G65" s="14"/>
    </row>
    <row r="66" spans="1:7" x14ac:dyDescent="0.3">
      <c r="A66" s="71" t="s">
        <v>45</v>
      </c>
      <c r="B66" s="72">
        <v>780</v>
      </c>
      <c r="C66" s="7">
        <f t="shared" ref="C66:C97" si="2">B66*1.6</f>
        <v>1248</v>
      </c>
      <c r="D66" s="72">
        <v>1350</v>
      </c>
      <c r="E66" s="14"/>
      <c r="F66" s="14"/>
      <c r="G66" s="14"/>
    </row>
    <row r="67" spans="1:7" x14ac:dyDescent="0.3">
      <c r="A67" s="6" t="s">
        <v>506</v>
      </c>
      <c r="B67" s="7">
        <v>3000</v>
      </c>
      <c r="C67" s="7">
        <f t="shared" si="2"/>
        <v>4800</v>
      </c>
      <c r="D67" s="7">
        <v>4500</v>
      </c>
      <c r="E67" s="14"/>
      <c r="F67" s="14"/>
      <c r="G67" s="14"/>
    </row>
    <row r="68" spans="1:7" x14ac:dyDescent="0.3">
      <c r="A68" s="6" t="s">
        <v>907</v>
      </c>
      <c r="B68" s="7">
        <v>1130</v>
      </c>
      <c r="C68" s="7">
        <f t="shared" si="2"/>
        <v>1808</v>
      </c>
      <c r="D68" s="7">
        <v>1800</v>
      </c>
      <c r="E68" s="14"/>
      <c r="F68" s="14"/>
      <c r="G68" s="14"/>
    </row>
    <row r="69" spans="1:7" x14ac:dyDescent="0.3">
      <c r="A69" s="71" t="s">
        <v>103</v>
      </c>
      <c r="B69" s="72">
        <v>1800</v>
      </c>
      <c r="C69" s="7">
        <f t="shared" si="2"/>
        <v>2880</v>
      </c>
      <c r="D69" s="72">
        <v>2800</v>
      </c>
      <c r="E69" s="14"/>
      <c r="F69" s="14"/>
      <c r="G69" s="14"/>
    </row>
    <row r="70" spans="1:7" x14ac:dyDescent="0.3">
      <c r="A70" s="71" t="s">
        <v>469</v>
      </c>
      <c r="B70" s="72">
        <v>2725</v>
      </c>
      <c r="C70" s="7">
        <f t="shared" si="2"/>
        <v>4360</v>
      </c>
      <c r="D70" s="72">
        <v>4100</v>
      </c>
      <c r="E70" s="14"/>
      <c r="F70" s="14"/>
      <c r="G70" s="14"/>
    </row>
    <row r="71" spans="1:7" x14ac:dyDescent="0.3">
      <c r="A71" s="71" t="s">
        <v>48</v>
      </c>
      <c r="B71" s="72">
        <v>780</v>
      </c>
      <c r="C71" s="7">
        <f t="shared" si="2"/>
        <v>1248</v>
      </c>
      <c r="D71" s="72">
        <v>1350</v>
      </c>
      <c r="E71" s="14"/>
      <c r="F71" s="14"/>
      <c r="G71" s="14"/>
    </row>
    <row r="72" spans="1:7" x14ac:dyDescent="0.3">
      <c r="A72" s="71" t="s">
        <v>47</v>
      </c>
      <c r="B72" s="72">
        <v>970</v>
      </c>
      <c r="C72" s="7">
        <f t="shared" si="2"/>
        <v>1552</v>
      </c>
      <c r="D72" s="72">
        <v>1650</v>
      </c>
      <c r="E72" s="14"/>
      <c r="F72" s="14"/>
      <c r="G72" s="14"/>
    </row>
    <row r="73" spans="1:7" x14ac:dyDescent="0.3">
      <c r="A73" s="6" t="s">
        <v>96</v>
      </c>
      <c r="B73" s="7">
        <v>2390</v>
      </c>
      <c r="C73" s="7">
        <f t="shared" si="2"/>
        <v>3824</v>
      </c>
      <c r="D73" s="7">
        <v>3600</v>
      </c>
      <c r="E73" s="14"/>
      <c r="F73" s="14"/>
      <c r="G73" s="14"/>
    </row>
    <row r="74" spans="1:7" x14ac:dyDescent="0.3">
      <c r="A74" s="6" t="s">
        <v>622</v>
      </c>
      <c r="B74" s="7">
        <v>3250</v>
      </c>
      <c r="C74" s="7">
        <f t="shared" si="2"/>
        <v>5200</v>
      </c>
      <c r="D74" s="7">
        <v>4300</v>
      </c>
      <c r="E74" s="14"/>
      <c r="F74" s="14"/>
      <c r="G74" s="14"/>
    </row>
    <row r="75" spans="1:7" x14ac:dyDescent="0.3">
      <c r="A75" s="6" t="s">
        <v>354</v>
      </c>
      <c r="B75" s="7">
        <v>1550</v>
      </c>
      <c r="C75" s="7">
        <f t="shared" si="2"/>
        <v>2480</v>
      </c>
      <c r="D75" s="7">
        <v>2500</v>
      </c>
      <c r="E75" s="14"/>
      <c r="F75" s="14"/>
      <c r="G75" s="14"/>
    </row>
    <row r="76" spans="1:7" x14ac:dyDescent="0.3">
      <c r="A76" s="6" t="s">
        <v>355</v>
      </c>
      <c r="B76" s="7">
        <v>1910</v>
      </c>
      <c r="C76" s="7">
        <f t="shared" si="2"/>
        <v>3056</v>
      </c>
      <c r="D76" s="7">
        <v>3000</v>
      </c>
      <c r="E76" s="14"/>
      <c r="F76" s="14"/>
      <c r="G76" s="14"/>
    </row>
    <row r="77" spans="1:7" x14ac:dyDescent="0.3">
      <c r="A77" s="6" t="s">
        <v>1136</v>
      </c>
      <c r="B77" s="7">
        <v>2200</v>
      </c>
      <c r="C77" s="7">
        <f t="shared" si="2"/>
        <v>3520</v>
      </c>
      <c r="D77" s="7">
        <v>3600</v>
      </c>
      <c r="E77" s="14"/>
      <c r="F77" s="14"/>
      <c r="G77" s="14"/>
    </row>
    <row r="78" spans="1:7" x14ac:dyDescent="0.3">
      <c r="A78" s="6" t="s">
        <v>356</v>
      </c>
      <c r="B78" s="7">
        <v>2990</v>
      </c>
      <c r="C78" s="7">
        <f t="shared" si="2"/>
        <v>4784</v>
      </c>
      <c r="D78" s="7">
        <v>4400</v>
      </c>
      <c r="E78" s="14"/>
      <c r="F78" s="14"/>
      <c r="G78" s="14"/>
    </row>
    <row r="79" spans="1:7" x14ac:dyDescent="0.3">
      <c r="A79" s="6" t="s">
        <v>357</v>
      </c>
      <c r="B79" s="7">
        <v>2990</v>
      </c>
      <c r="C79" s="7">
        <f t="shared" si="2"/>
        <v>4784</v>
      </c>
      <c r="D79" s="7">
        <v>4400</v>
      </c>
      <c r="E79" s="14"/>
      <c r="F79" s="14"/>
      <c r="G79" s="14"/>
    </row>
    <row r="80" spans="1:7" x14ac:dyDescent="0.3">
      <c r="A80" s="6" t="s">
        <v>358</v>
      </c>
      <c r="B80" s="7">
        <v>2390</v>
      </c>
      <c r="C80" s="7">
        <f t="shared" si="2"/>
        <v>3824</v>
      </c>
      <c r="D80" s="7">
        <v>3600</v>
      </c>
      <c r="E80" s="14"/>
      <c r="F80" s="14"/>
      <c r="G80" s="14"/>
    </row>
    <row r="81" spans="1:7" x14ac:dyDescent="0.3">
      <c r="A81" s="6" t="s">
        <v>359</v>
      </c>
      <c r="B81" s="7">
        <v>1800</v>
      </c>
      <c r="C81" s="7">
        <f t="shared" si="2"/>
        <v>2880</v>
      </c>
      <c r="D81" s="7">
        <v>2900</v>
      </c>
      <c r="E81" s="14"/>
      <c r="F81" s="14"/>
      <c r="G81" s="14"/>
    </row>
    <row r="82" spans="1:7" x14ac:dyDescent="0.3">
      <c r="A82" s="6" t="s">
        <v>531</v>
      </c>
      <c r="B82" s="7">
        <v>1800</v>
      </c>
      <c r="C82" s="7">
        <f t="shared" si="2"/>
        <v>2880</v>
      </c>
      <c r="D82" s="7">
        <v>2900</v>
      </c>
      <c r="E82" s="14"/>
      <c r="F82" s="14"/>
      <c r="G82" s="14"/>
    </row>
    <row r="83" spans="1:7" x14ac:dyDescent="0.3">
      <c r="A83" s="6" t="s">
        <v>361</v>
      </c>
      <c r="B83" s="7">
        <v>1800</v>
      </c>
      <c r="C83" s="7">
        <f t="shared" si="2"/>
        <v>2880</v>
      </c>
      <c r="D83" s="7" t="s">
        <v>360</v>
      </c>
      <c r="E83" s="14"/>
      <c r="F83" s="14"/>
      <c r="G83" s="14"/>
    </row>
    <row r="84" spans="1:7" x14ac:dyDescent="0.3">
      <c r="A84" s="6" t="s">
        <v>363</v>
      </c>
      <c r="B84" s="7">
        <v>1800</v>
      </c>
      <c r="C84" s="7">
        <f t="shared" si="2"/>
        <v>2880</v>
      </c>
      <c r="D84" s="7">
        <v>2900</v>
      </c>
      <c r="E84" s="14"/>
      <c r="F84" s="14"/>
      <c r="G84" s="14"/>
    </row>
    <row r="85" spans="1:7" x14ac:dyDescent="0.3">
      <c r="A85" s="6" t="s">
        <v>362</v>
      </c>
      <c r="B85" s="7">
        <v>1800</v>
      </c>
      <c r="C85" s="7">
        <f t="shared" si="2"/>
        <v>2880</v>
      </c>
      <c r="D85" s="7">
        <v>2900</v>
      </c>
      <c r="E85" s="14"/>
      <c r="F85" s="14"/>
      <c r="G85" s="14"/>
    </row>
    <row r="86" spans="1:7" x14ac:dyDescent="0.3">
      <c r="A86" s="6" t="s">
        <v>364</v>
      </c>
      <c r="B86" s="7">
        <v>1790</v>
      </c>
      <c r="C86" s="7">
        <f t="shared" si="2"/>
        <v>2864</v>
      </c>
      <c r="D86" s="7">
        <v>2800</v>
      </c>
      <c r="E86" s="14"/>
      <c r="F86" s="14"/>
      <c r="G86" s="14"/>
    </row>
    <row r="87" spans="1:7" x14ac:dyDescent="0.3">
      <c r="A87" s="6" t="s">
        <v>365</v>
      </c>
      <c r="B87" s="7">
        <v>2150</v>
      </c>
      <c r="C87" s="7">
        <f t="shared" si="2"/>
        <v>3440</v>
      </c>
      <c r="D87" s="7">
        <v>3400</v>
      </c>
      <c r="E87" s="14"/>
      <c r="F87" s="14"/>
      <c r="G87" s="14"/>
    </row>
    <row r="88" spans="1:7" x14ac:dyDescent="0.3">
      <c r="A88" s="71" t="s">
        <v>228</v>
      </c>
      <c r="B88" s="72">
        <v>1100</v>
      </c>
      <c r="C88" s="72">
        <f t="shared" si="2"/>
        <v>1760</v>
      </c>
      <c r="D88" s="72">
        <v>1800</v>
      </c>
      <c r="E88" s="14"/>
      <c r="F88" s="14"/>
      <c r="G88" s="14"/>
    </row>
    <row r="89" spans="1:7" x14ac:dyDescent="0.3">
      <c r="A89" s="54" t="s">
        <v>112</v>
      </c>
      <c r="B89" s="55">
        <v>2203</v>
      </c>
      <c r="C89" s="55">
        <f t="shared" si="2"/>
        <v>3524.8</v>
      </c>
      <c r="D89" s="55">
        <v>3200</v>
      </c>
      <c r="E89" s="14"/>
      <c r="F89" s="14"/>
      <c r="G89" s="14"/>
    </row>
    <row r="90" spans="1:7" x14ac:dyDescent="0.3">
      <c r="A90" s="71" t="s">
        <v>227</v>
      </c>
      <c r="B90" s="72">
        <v>1500</v>
      </c>
      <c r="C90" s="72">
        <f t="shared" si="2"/>
        <v>2400</v>
      </c>
      <c r="D90" s="72">
        <v>2500</v>
      </c>
      <c r="E90" s="14"/>
      <c r="F90" s="14"/>
      <c r="G90" s="14"/>
    </row>
    <row r="91" spans="1:7" x14ac:dyDescent="0.3">
      <c r="A91" s="54" t="s">
        <v>113</v>
      </c>
      <c r="B91" s="55">
        <v>1391</v>
      </c>
      <c r="C91" s="55">
        <f t="shared" si="2"/>
        <v>2225.6</v>
      </c>
      <c r="D91" s="55">
        <v>2300</v>
      </c>
      <c r="E91" s="14"/>
      <c r="F91" s="14"/>
      <c r="G91" s="14"/>
    </row>
    <row r="92" spans="1:7" x14ac:dyDescent="0.3">
      <c r="A92" s="71" t="s">
        <v>221</v>
      </c>
      <c r="B92" s="72">
        <v>1500</v>
      </c>
      <c r="C92" s="72">
        <f t="shared" si="2"/>
        <v>2400</v>
      </c>
      <c r="D92" s="72">
        <v>2500</v>
      </c>
      <c r="E92" s="14"/>
      <c r="F92" s="14"/>
      <c r="G92" s="14"/>
    </row>
    <row r="93" spans="1:7" x14ac:dyDescent="0.3">
      <c r="A93" s="54" t="s">
        <v>114</v>
      </c>
      <c r="B93" s="55">
        <v>2527</v>
      </c>
      <c r="C93" s="55">
        <f t="shared" si="2"/>
        <v>4043.2000000000003</v>
      </c>
      <c r="D93" s="55">
        <v>3700</v>
      </c>
      <c r="E93" s="14"/>
      <c r="F93" s="14"/>
      <c r="G93" s="14"/>
    </row>
    <row r="94" spans="1:7" x14ac:dyDescent="0.3">
      <c r="A94" s="71" t="s">
        <v>115</v>
      </c>
      <c r="B94" s="72">
        <v>2527</v>
      </c>
      <c r="C94" s="72">
        <f t="shared" si="2"/>
        <v>4043.2000000000003</v>
      </c>
      <c r="D94" s="72">
        <v>3700</v>
      </c>
      <c r="E94" s="14"/>
      <c r="F94" s="14"/>
      <c r="G94" s="14"/>
    </row>
    <row r="95" spans="1:7" x14ac:dyDescent="0.3">
      <c r="A95" s="54" t="s">
        <v>762</v>
      </c>
      <c r="B95" s="55">
        <v>1100</v>
      </c>
      <c r="C95" s="55">
        <f t="shared" si="2"/>
        <v>1760</v>
      </c>
      <c r="D95" s="55">
        <v>1800</v>
      </c>
      <c r="E95" s="14"/>
      <c r="F95" s="14"/>
      <c r="G95" s="14"/>
    </row>
    <row r="96" spans="1:7" x14ac:dyDescent="0.3">
      <c r="A96" s="71" t="s">
        <v>116</v>
      </c>
      <c r="B96" s="72">
        <v>2527</v>
      </c>
      <c r="C96" s="72">
        <f t="shared" si="2"/>
        <v>4043.2000000000003</v>
      </c>
      <c r="D96" s="72">
        <v>3700</v>
      </c>
      <c r="E96" s="14"/>
      <c r="F96" s="14"/>
      <c r="G96" s="14"/>
    </row>
    <row r="97" spans="1:7" x14ac:dyDescent="0.3">
      <c r="A97" s="54" t="s">
        <v>117</v>
      </c>
      <c r="B97" s="55">
        <v>3000</v>
      </c>
      <c r="C97" s="55">
        <f t="shared" si="2"/>
        <v>4800</v>
      </c>
      <c r="D97" s="55">
        <v>4200</v>
      </c>
      <c r="E97" s="14"/>
      <c r="F97" s="14"/>
      <c r="G97" s="14"/>
    </row>
    <row r="98" spans="1:7" x14ac:dyDescent="0.3">
      <c r="A98" s="71" t="s">
        <v>507</v>
      </c>
      <c r="B98" s="72">
        <v>2000</v>
      </c>
      <c r="C98" s="72">
        <f t="shared" ref="C98:C129" si="3">B98*1.6</f>
        <v>3200</v>
      </c>
      <c r="D98" s="72">
        <v>3500</v>
      </c>
      <c r="E98" s="14"/>
      <c r="F98" s="14"/>
      <c r="G98" s="14"/>
    </row>
    <row r="99" spans="1:7" x14ac:dyDescent="0.3">
      <c r="A99" s="54" t="s">
        <v>1337</v>
      </c>
      <c r="B99" s="55">
        <v>1200</v>
      </c>
      <c r="C99" s="55">
        <f t="shared" si="3"/>
        <v>1920</v>
      </c>
      <c r="D99" s="55">
        <v>1900</v>
      </c>
      <c r="E99" s="14"/>
      <c r="F99" s="14"/>
      <c r="G99" s="14"/>
    </row>
    <row r="100" spans="1:7" x14ac:dyDescent="0.3">
      <c r="A100" s="34" t="s">
        <v>198</v>
      </c>
      <c r="B100" s="35">
        <v>2500</v>
      </c>
      <c r="C100" s="35">
        <f t="shared" si="3"/>
        <v>4000</v>
      </c>
      <c r="D100" s="35">
        <v>3500</v>
      </c>
      <c r="E100" s="14"/>
      <c r="F100" s="14"/>
      <c r="G100" s="14"/>
    </row>
    <row r="101" spans="1:7" x14ac:dyDescent="0.3">
      <c r="A101" s="6" t="s">
        <v>230</v>
      </c>
      <c r="B101" s="7">
        <v>2475</v>
      </c>
      <c r="C101" s="7">
        <f t="shared" si="3"/>
        <v>3960</v>
      </c>
      <c r="D101" s="7">
        <v>3900</v>
      </c>
      <c r="E101" s="14"/>
      <c r="F101" s="14"/>
      <c r="G101" s="14"/>
    </row>
    <row r="102" spans="1:7" x14ac:dyDescent="0.3">
      <c r="A102" s="6" t="s">
        <v>484</v>
      </c>
      <c r="B102" s="7">
        <v>2300</v>
      </c>
      <c r="C102" s="7">
        <f t="shared" si="3"/>
        <v>3680</v>
      </c>
      <c r="D102" s="7">
        <v>3400</v>
      </c>
      <c r="E102" s="14"/>
      <c r="F102" s="14"/>
      <c r="G102" s="14"/>
    </row>
    <row r="103" spans="1:7" x14ac:dyDescent="0.3">
      <c r="A103" s="34" t="s">
        <v>233</v>
      </c>
      <c r="B103" s="35">
        <v>1678</v>
      </c>
      <c r="C103" s="35">
        <f t="shared" si="3"/>
        <v>2684.8</v>
      </c>
      <c r="D103" s="35">
        <v>2300</v>
      </c>
      <c r="E103" s="14"/>
      <c r="F103" s="14"/>
      <c r="G103" s="14"/>
    </row>
    <row r="104" spans="1:7" x14ac:dyDescent="0.3">
      <c r="A104" s="34" t="s">
        <v>232</v>
      </c>
      <c r="B104" s="35">
        <v>3440</v>
      </c>
      <c r="C104" s="35">
        <f t="shared" si="3"/>
        <v>5504</v>
      </c>
      <c r="D104" s="35">
        <v>4100</v>
      </c>
      <c r="E104" s="14"/>
      <c r="F104" s="14"/>
      <c r="G104" s="14"/>
    </row>
    <row r="105" spans="1:7" x14ac:dyDescent="0.3">
      <c r="A105" s="6" t="s">
        <v>229</v>
      </c>
      <c r="B105" s="7">
        <v>1500</v>
      </c>
      <c r="C105" s="7">
        <f t="shared" si="3"/>
        <v>2400</v>
      </c>
      <c r="D105" s="7">
        <v>2500</v>
      </c>
      <c r="E105" s="14"/>
      <c r="F105" s="14"/>
      <c r="G105" s="14"/>
    </row>
    <row r="106" spans="1:7" x14ac:dyDescent="0.3">
      <c r="A106" s="6" t="s">
        <v>231</v>
      </c>
      <c r="B106" s="7">
        <v>1075</v>
      </c>
      <c r="C106" s="7">
        <f t="shared" si="3"/>
        <v>1720</v>
      </c>
      <c r="D106" s="7">
        <v>2300</v>
      </c>
      <c r="E106" s="14"/>
      <c r="F106" s="14"/>
      <c r="G106" s="14"/>
    </row>
    <row r="107" spans="1:7" x14ac:dyDescent="0.3">
      <c r="A107" s="34" t="s">
        <v>199</v>
      </c>
      <c r="B107" s="35">
        <v>2200</v>
      </c>
      <c r="C107" s="35">
        <f t="shared" si="3"/>
        <v>3520</v>
      </c>
      <c r="D107" s="35">
        <v>3300</v>
      </c>
      <c r="E107" s="14"/>
      <c r="F107" s="14"/>
      <c r="G107" s="14"/>
    </row>
    <row r="108" spans="1:7" x14ac:dyDescent="0.3">
      <c r="A108" s="6" t="s">
        <v>97</v>
      </c>
      <c r="B108" s="7">
        <v>2700</v>
      </c>
      <c r="C108" s="7">
        <f t="shared" si="3"/>
        <v>4320</v>
      </c>
      <c r="D108" s="7">
        <v>3900</v>
      </c>
      <c r="E108" s="14"/>
      <c r="F108" s="14"/>
      <c r="G108" s="14"/>
    </row>
    <row r="109" spans="1:7" x14ac:dyDescent="0.3">
      <c r="A109" s="6" t="s">
        <v>154</v>
      </c>
      <c r="B109" s="7">
        <v>900</v>
      </c>
      <c r="C109" s="7">
        <f t="shared" si="3"/>
        <v>1440</v>
      </c>
      <c r="D109" s="7">
        <v>1400</v>
      </c>
      <c r="E109" s="14"/>
      <c r="F109" s="14"/>
      <c r="G109" s="14"/>
    </row>
    <row r="110" spans="1:7" x14ac:dyDescent="0.3">
      <c r="A110" s="6" t="s">
        <v>110</v>
      </c>
      <c r="B110" s="7">
        <v>2050</v>
      </c>
      <c r="C110" s="7">
        <f t="shared" si="3"/>
        <v>3280</v>
      </c>
      <c r="D110" s="7">
        <v>2900</v>
      </c>
      <c r="E110" s="14"/>
      <c r="F110" s="14"/>
      <c r="G110" s="14"/>
    </row>
    <row r="111" spans="1:7" x14ac:dyDescent="0.3">
      <c r="A111" s="6" t="s">
        <v>98</v>
      </c>
      <c r="B111" s="7">
        <v>1500</v>
      </c>
      <c r="C111" s="7">
        <f t="shared" si="3"/>
        <v>2400</v>
      </c>
      <c r="D111" s="7">
        <v>2300</v>
      </c>
      <c r="E111" s="14"/>
      <c r="F111" s="14"/>
      <c r="G111" s="14"/>
    </row>
    <row r="112" spans="1:7" x14ac:dyDescent="0.3">
      <c r="A112" s="6" t="s">
        <v>109</v>
      </c>
      <c r="B112" s="7">
        <v>1260</v>
      </c>
      <c r="C112" s="7">
        <f t="shared" si="3"/>
        <v>2016</v>
      </c>
      <c r="D112" s="7">
        <v>1900</v>
      </c>
      <c r="E112" s="14"/>
      <c r="F112" s="14"/>
      <c r="G112" s="14"/>
    </row>
    <row r="113" spans="1:7" x14ac:dyDescent="0.3">
      <c r="A113" s="6" t="s">
        <v>242</v>
      </c>
      <c r="B113" s="7">
        <v>1650</v>
      </c>
      <c r="C113" s="7">
        <f t="shared" si="3"/>
        <v>2640</v>
      </c>
      <c r="D113" s="7">
        <v>2800</v>
      </c>
      <c r="E113" s="14"/>
      <c r="F113" s="14"/>
      <c r="G113" s="14"/>
    </row>
    <row r="114" spans="1:7" x14ac:dyDescent="0.3">
      <c r="A114" s="6" t="s">
        <v>243</v>
      </c>
      <c r="B114" s="7">
        <v>2200</v>
      </c>
      <c r="C114" s="7">
        <f t="shared" si="3"/>
        <v>3520</v>
      </c>
      <c r="D114" s="7">
        <v>3900</v>
      </c>
      <c r="E114" s="14"/>
      <c r="F114" s="14"/>
      <c r="G114" s="14"/>
    </row>
    <row r="115" spans="1:7" x14ac:dyDescent="0.3">
      <c r="A115" s="6" t="s">
        <v>245</v>
      </c>
      <c r="B115" s="7">
        <v>2750</v>
      </c>
      <c r="C115" s="7">
        <f t="shared" si="3"/>
        <v>4400</v>
      </c>
      <c r="D115" s="7">
        <v>4500</v>
      </c>
      <c r="E115" s="14"/>
      <c r="F115" s="14"/>
      <c r="G115" s="14"/>
    </row>
    <row r="116" spans="1:7" x14ac:dyDescent="0.3">
      <c r="A116" s="6" t="s">
        <v>244</v>
      </c>
      <c r="B116" s="7">
        <v>3600</v>
      </c>
      <c r="C116" s="7">
        <f t="shared" si="3"/>
        <v>5760</v>
      </c>
      <c r="D116" s="7">
        <v>6300</v>
      </c>
      <c r="E116" s="14"/>
      <c r="F116" s="14"/>
      <c r="G116" s="14"/>
    </row>
    <row r="117" spans="1:7" x14ac:dyDescent="0.3">
      <c r="A117" s="6" t="s">
        <v>82</v>
      </c>
      <c r="B117" s="7">
        <v>5100</v>
      </c>
      <c r="C117" s="7">
        <f t="shared" si="3"/>
        <v>8160</v>
      </c>
      <c r="D117" s="7">
        <v>7800</v>
      </c>
      <c r="E117" s="14"/>
      <c r="F117" s="14"/>
      <c r="G117" s="14"/>
    </row>
    <row r="118" spans="1:7" x14ac:dyDescent="0.3">
      <c r="A118" s="71" t="s">
        <v>60</v>
      </c>
      <c r="B118" s="72">
        <v>2130</v>
      </c>
      <c r="C118" s="7">
        <f t="shared" si="3"/>
        <v>3408</v>
      </c>
      <c r="D118" s="72">
        <v>3750</v>
      </c>
      <c r="E118" s="14"/>
      <c r="F118" s="14"/>
      <c r="G118" s="14"/>
    </row>
    <row r="119" spans="1:7" x14ac:dyDescent="0.3">
      <c r="A119" s="71" t="s">
        <v>61</v>
      </c>
      <c r="B119" s="72">
        <v>2400</v>
      </c>
      <c r="C119" s="7">
        <f t="shared" si="3"/>
        <v>3840</v>
      </c>
      <c r="D119" s="72">
        <v>4300</v>
      </c>
      <c r="E119" s="14"/>
      <c r="F119" s="14"/>
      <c r="G119" s="14"/>
    </row>
    <row r="120" spans="1:7" x14ac:dyDescent="0.3">
      <c r="A120" s="71" t="s">
        <v>90</v>
      </c>
      <c r="B120" s="72">
        <v>3860</v>
      </c>
      <c r="C120" s="7">
        <f t="shared" si="3"/>
        <v>6176</v>
      </c>
      <c r="D120" s="72">
        <v>4900</v>
      </c>
      <c r="E120" s="14"/>
      <c r="F120" s="14"/>
      <c r="G120" s="14"/>
    </row>
    <row r="121" spans="1:7" x14ac:dyDescent="0.3">
      <c r="A121" s="6" t="s">
        <v>88</v>
      </c>
      <c r="B121" s="7">
        <v>3700</v>
      </c>
      <c r="C121" s="7">
        <f t="shared" si="3"/>
        <v>5920</v>
      </c>
      <c r="D121" s="7">
        <v>4500</v>
      </c>
      <c r="E121" s="14"/>
      <c r="F121" s="14"/>
      <c r="G121" s="14"/>
    </row>
    <row r="122" spans="1:7" x14ac:dyDescent="0.3">
      <c r="A122" s="6" t="s">
        <v>94</v>
      </c>
      <c r="B122" s="7">
        <v>1100</v>
      </c>
      <c r="C122" s="7">
        <f t="shared" si="3"/>
        <v>1760</v>
      </c>
      <c r="D122" s="7">
        <v>1900</v>
      </c>
      <c r="E122" s="14"/>
      <c r="F122" s="14"/>
      <c r="G122" s="14"/>
    </row>
    <row r="123" spans="1:7" x14ac:dyDescent="0.3">
      <c r="A123" s="6" t="s">
        <v>148</v>
      </c>
      <c r="B123" s="7">
        <v>1000</v>
      </c>
      <c r="C123" s="7">
        <f t="shared" si="3"/>
        <v>1600</v>
      </c>
      <c r="D123" s="7">
        <v>1900</v>
      </c>
      <c r="E123" s="14"/>
      <c r="F123" s="14"/>
      <c r="G123" s="14"/>
    </row>
    <row r="124" spans="1:7" x14ac:dyDescent="0.3">
      <c r="A124" s="6" t="s">
        <v>52</v>
      </c>
      <c r="B124" s="7">
        <v>3800</v>
      </c>
      <c r="C124" s="7">
        <f t="shared" si="3"/>
        <v>6080</v>
      </c>
      <c r="D124" s="7">
        <v>4900</v>
      </c>
      <c r="E124" s="14"/>
      <c r="F124" s="14"/>
      <c r="G124" s="14"/>
    </row>
    <row r="125" spans="1:7" x14ac:dyDescent="0.3">
      <c r="A125" s="6" t="s">
        <v>89</v>
      </c>
      <c r="B125" s="7">
        <v>3450</v>
      </c>
      <c r="C125" s="7">
        <f t="shared" si="3"/>
        <v>5520</v>
      </c>
      <c r="D125" s="7">
        <v>3900</v>
      </c>
      <c r="E125" s="14"/>
      <c r="F125" s="14"/>
      <c r="G125" s="14"/>
    </row>
    <row r="126" spans="1:7" x14ac:dyDescent="0.3">
      <c r="A126" s="6" t="s">
        <v>632</v>
      </c>
      <c r="B126" s="7">
        <v>1200</v>
      </c>
      <c r="C126" s="7">
        <f t="shared" si="3"/>
        <v>1920</v>
      </c>
      <c r="D126" s="7">
        <v>1500</v>
      </c>
      <c r="E126" s="14"/>
      <c r="F126" s="14"/>
      <c r="G126" s="14"/>
    </row>
    <row r="127" spans="1:7" x14ac:dyDescent="0.3">
      <c r="A127" s="6" t="s">
        <v>87</v>
      </c>
      <c r="B127" s="7">
        <v>5700</v>
      </c>
      <c r="C127" s="7">
        <f t="shared" si="3"/>
        <v>9120</v>
      </c>
      <c r="D127" s="7">
        <v>5900</v>
      </c>
      <c r="E127" s="14"/>
      <c r="F127" s="14"/>
      <c r="G127" s="14"/>
    </row>
    <row r="128" spans="1:7" x14ac:dyDescent="0.3">
      <c r="A128" s="6" t="s">
        <v>37</v>
      </c>
      <c r="B128" s="7">
        <v>1850</v>
      </c>
      <c r="C128" s="7">
        <f t="shared" si="3"/>
        <v>2960</v>
      </c>
      <c r="D128" s="7">
        <v>3750</v>
      </c>
      <c r="E128" s="14"/>
      <c r="F128" s="14"/>
      <c r="G128" s="14"/>
    </row>
    <row r="129" spans="1:7" x14ac:dyDescent="0.3">
      <c r="A129" s="48" t="s">
        <v>40</v>
      </c>
      <c r="B129" s="49">
        <v>1644</v>
      </c>
      <c r="C129" s="7">
        <f t="shared" si="3"/>
        <v>2630.4</v>
      </c>
      <c r="D129" s="49">
        <v>3300</v>
      </c>
      <c r="E129" s="14"/>
      <c r="F129" s="14"/>
      <c r="G129" s="14"/>
    </row>
    <row r="130" spans="1:7" x14ac:dyDescent="0.3">
      <c r="A130" s="48" t="s">
        <v>15</v>
      </c>
      <c r="B130" s="49">
        <v>32</v>
      </c>
      <c r="C130" s="7">
        <f t="shared" ref="C130:C161" si="4">B130*1.6</f>
        <v>51.2</v>
      </c>
      <c r="D130" s="49">
        <v>8200</v>
      </c>
      <c r="E130" s="14"/>
      <c r="F130" s="14"/>
      <c r="G130" s="14"/>
    </row>
    <row r="131" spans="1:7" x14ac:dyDescent="0.3">
      <c r="A131" s="48" t="s">
        <v>41</v>
      </c>
      <c r="B131" s="49">
        <v>1880</v>
      </c>
      <c r="C131" s="7">
        <f t="shared" si="4"/>
        <v>3008</v>
      </c>
      <c r="D131" s="49">
        <v>3759</v>
      </c>
      <c r="E131" s="14"/>
      <c r="F131" s="14"/>
      <c r="G131" s="14"/>
    </row>
    <row r="132" spans="1:7" x14ac:dyDescent="0.3">
      <c r="A132" s="48" t="s">
        <v>39</v>
      </c>
      <c r="B132" s="49">
        <v>987</v>
      </c>
      <c r="C132" s="7">
        <f t="shared" si="4"/>
        <v>1579.2</v>
      </c>
      <c r="D132" s="49">
        <v>3300</v>
      </c>
      <c r="E132" s="14"/>
      <c r="F132" s="14"/>
      <c r="G132" s="14"/>
    </row>
    <row r="133" spans="1:7" x14ac:dyDescent="0.3">
      <c r="A133" s="48" t="s">
        <v>36</v>
      </c>
      <c r="B133" s="49">
        <v>1700</v>
      </c>
      <c r="C133" s="7">
        <f t="shared" si="4"/>
        <v>2720</v>
      </c>
      <c r="D133" s="49">
        <v>4900</v>
      </c>
      <c r="E133" s="14"/>
      <c r="F133" s="14"/>
      <c r="G133" s="14"/>
    </row>
    <row r="134" spans="1:7" x14ac:dyDescent="0.3">
      <c r="A134" s="48" t="s">
        <v>42</v>
      </c>
      <c r="B134" s="49">
        <v>1723</v>
      </c>
      <c r="C134" s="7">
        <f t="shared" si="4"/>
        <v>2756.8</v>
      </c>
      <c r="D134" s="49">
        <v>4900</v>
      </c>
      <c r="E134" s="14"/>
      <c r="F134" s="14"/>
      <c r="G134" s="14"/>
    </row>
    <row r="135" spans="1:7" x14ac:dyDescent="0.3">
      <c r="A135" s="6" t="s">
        <v>1137</v>
      </c>
      <c r="B135" s="7">
        <v>3400</v>
      </c>
      <c r="C135" s="7">
        <f t="shared" si="4"/>
        <v>5440</v>
      </c>
      <c r="D135" s="7">
        <v>4900</v>
      </c>
      <c r="E135" s="14"/>
      <c r="F135" s="14"/>
      <c r="G135" s="14"/>
    </row>
    <row r="136" spans="1:7" x14ac:dyDescent="0.3">
      <c r="A136" s="6" t="s">
        <v>259</v>
      </c>
      <c r="B136" s="7">
        <v>5950</v>
      </c>
      <c r="C136" s="7">
        <f t="shared" si="4"/>
        <v>9520</v>
      </c>
      <c r="D136" s="7">
        <v>8300</v>
      </c>
      <c r="E136" s="14">
        <v>5900</v>
      </c>
      <c r="F136" s="14"/>
      <c r="G136" s="14"/>
    </row>
    <row r="137" spans="1:7" x14ac:dyDescent="0.3">
      <c r="A137" s="6" t="s">
        <v>261</v>
      </c>
      <c r="B137" s="7">
        <v>1525</v>
      </c>
      <c r="C137" s="7">
        <f t="shared" si="4"/>
        <v>2440</v>
      </c>
      <c r="D137" s="7">
        <v>2450</v>
      </c>
      <c r="E137" s="14"/>
      <c r="F137" s="14"/>
      <c r="G137" s="14"/>
    </row>
    <row r="138" spans="1:7" x14ac:dyDescent="0.3">
      <c r="A138" s="6" t="s">
        <v>260</v>
      </c>
      <c r="B138" s="7">
        <v>3000</v>
      </c>
      <c r="C138" s="7">
        <f t="shared" si="4"/>
        <v>4800</v>
      </c>
      <c r="D138" s="7">
        <v>4500</v>
      </c>
      <c r="E138" s="14"/>
      <c r="F138" s="14"/>
      <c r="G138" s="14"/>
    </row>
    <row r="139" spans="1:7" x14ac:dyDescent="0.3">
      <c r="A139" s="6" t="s">
        <v>620</v>
      </c>
      <c r="B139" s="7">
        <v>2175</v>
      </c>
      <c r="C139" s="7">
        <f t="shared" si="4"/>
        <v>3480</v>
      </c>
      <c r="D139" s="7">
        <v>3500</v>
      </c>
      <c r="E139" s="14"/>
      <c r="F139" s="14"/>
      <c r="G139" s="14"/>
    </row>
    <row r="140" spans="1:7" x14ac:dyDescent="0.3">
      <c r="A140" s="6" t="s">
        <v>86</v>
      </c>
      <c r="B140" s="7">
        <v>3400</v>
      </c>
      <c r="C140" s="7">
        <f t="shared" si="4"/>
        <v>5440</v>
      </c>
      <c r="D140" s="7">
        <v>3900</v>
      </c>
      <c r="E140" s="14"/>
      <c r="F140" s="14"/>
      <c r="G140" s="14"/>
    </row>
    <row r="141" spans="1:7" x14ac:dyDescent="0.3">
      <c r="A141" s="6" t="s">
        <v>279</v>
      </c>
      <c r="B141" s="7">
        <v>1950</v>
      </c>
      <c r="C141" s="7">
        <f t="shared" si="4"/>
        <v>3120</v>
      </c>
      <c r="D141" s="7">
        <v>3200</v>
      </c>
      <c r="E141" s="14"/>
      <c r="F141" s="14"/>
      <c r="G141" s="14"/>
    </row>
    <row r="142" spans="1:7" x14ac:dyDescent="0.3">
      <c r="A142" s="6" t="s">
        <v>621</v>
      </c>
      <c r="B142" s="7">
        <v>2900</v>
      </c>
      <c r="C142" s="7">
        <f t="shared" si="4"/>
        <v>4640</v>
      </c>
      <c r="D142" s="7">
        <v>4400</v>
      </c>
      <c r="E142" s="14"/>
      <c r="F142" s="14"/>
      <c r="G142" s="14"/>
    </row>
    <row r="143" spans="1:7" x14ac:dyDescent="0.3">
      <c r="A143" s="6" t="s">
        <v>156</v>
      </c>
      <c r="B143" s="7">
        <v>2390</v>
      </c>
      <c r="C143" s="7">
        <f t="shared" si="4"/>
        <v>3824</v>
      </c>
      <c r="D143" s="7">
        <v>3600</v>
      </c>
      <c r="E143" s="14"/>
      <c r="F143" s="14"/>
      <c r="G143" s="14"/>
    </row>
    <row r="144" spans="1:7" x14ac:dyDescent="0.3">
      <c r="A144" s="6" t="s">
        <v>220</v>
      </c>
      <c r="B144" s="7">
        <v>2750</v>
      </c>
      <c r="C144" s="7">
        <f t="shared" si="4"/>
        <v>4400</v>
      </c>
      <c r="D144" s="7">
        <v>3900</v>
      </c>
      <c r="E144" s="14"/>
      <c r="F144" s="14"/>
      <c r="G144" s="14"/>
    </row>
    <row r="145" spans="1:7" x14ac:dyDescent="0.3">
      <c r="A145" s="6" t="s">
        <v>619</v>
      </c>
      <c r="B145" s="7">
        <v>3660</v>
      </c>
      <c r="C145" s="7">
        <f t="shared" si="4"/>
        <v>5856</v>
      </c>
      <c r="D145" s="7">
        <v>4900</v>
      </c>
      <c r="E145" s="14"/>
      <c r="F145" s="14"/>
      <c r="G145" s="14"/>
    </row>
    <row r="146" spans="1:7" x14ac:dyDescent="0.3">
      <c r="A146" s="6" t="s">
        <v>280</v>
      </c>
      <c r="B146" s="7">
        <v>1450</v>
      </c>
      <c r="C146" s="7">
        <f t="shared" si="4"/>
        <v>2320</v>
      </c>
      <c r="D146" s="7">
        <v>2600</v>
      </c>
      <c r="E146" s="14"/>
      <c r="F146" s="14"/>
      <c r="G146" s="14"/>
    </row>
    <row r="147" spans="1:7" x14ac:dyDescent="0.3">
      <c r="A147" s="6" t="s">
        <v>281</v>
      </c>
      <c r="B147" s="7">
        <v>1450</v>
      </c>
      <c r="C147" s="7">
        <f t="shared" si="4"/>
        <v>2320</v>
      </c>
      <c r="D147" s="7">
        <v>2600</v>
      </c>
      <c r="E147" s="14"/>
      <c r="F147" s="14"/>
      <c r="G147" s="14"/>
    </row>
    <row r="148" spans="1:7" x14ac:dyDescent="0.3">
      <c r="A148" s="6" t="s">
        <v>246</v>
      </c>
      <c r="B148" s="7">
        <v>3330</v>
      </c>
      <c r="C148" s="7">
        <f t="shared" si="4"/>
        <v>5328</v>
      </c>
      <c r="D148" s="7">
        <v>4900</v>
      </c>
      <c r="E148" s="14"/>
      <c r="F148" s="14"/>
      <c r="G148" s="14"/>
    </row>
    <row r="149" spans="1:7" x14ac:dyDescent="0.3">
      <c r="A149" s="34" t="s">
        <v>869</v>
      </c>
      <c r="B149" s="35">
        <v>2700</v>
      </c>
      <c r="C149" s="35">
        <f t="shared" si="4"/>
        <v>4320</v>
      </c>
      <c r="D149" s="35">
        <v>3700</v>
      </c>
      <c r="E149" s="14"/>
      <c r="F149" s="14"/>
      <c r="G149" s="14"/>
    </row>
    <row r="150" spans="1:7" x14ac:dyDescent="0.3">
      <c r="A150" s="34" t="s">
        <v>868</v>
      </c>
      <c r="B150" s="35">
        <v>2700</v>
      </c>
      <c r="C150" s="35">
        <f t="shared" si="4"/>
        <v>4320</v>
      </c>
      <c r="D150" s="35">
        <v>3700</v>
      </c>
      <c r="E150" s="14"/>
      <c r="F150" s="14"/>
      <c r="G150" s="14"/>
    </row>
    <row r="151" spans="1:7" x14ac:dyDescent="0.3">
      <c r="A151" s="6" t="s">
        <v>67</v>
      </c>
      <c r="B151" s="7">
        <v>1600</v>
      </c>
      <c r="C151" s="7">
        <f t="shared" si="4"/>
        <v>2560</v>
      </c>
      <c r="D151" s="7">
        <v>2550</v>
      </c>
      <c r="E151" s="14"/>
      <c r="F151" s="14"/>
      <c r="G151" s="14"/>
    </row>
    <row r="152" spans="1:7" x14ac:dyDescent="0.3">
      <c r="A152" s="6" t="s">
        <v>1049</v>
      </c>
      <c r="B152" s="7">
        <v>1500</v>
      </c>
      <c r="C152" s="7">
        <f t="shared" si="4"/>
        <v>2400</v>
      </c>
      <c r="D152" s="7">
        <v>2400</v>
      </c>
      <c r="E152" s="14"/>
      <c r="F152" s="14"/>
      <c r="G152" s="14"/>
    </row>
    <row r="153" spans="1:7" x14ac:dyDescent="0.3">
      <c r="A153" s="6" t="s">
        <v>1335</v>
      </c>
      <c r="B153" s="7">
        <v>3840</v>
      </c>
      <c r="C153" s="7">
        <f t="shared" si="4"/>
        <v>6144</v>
      </c>
      <c r="D153" s="7">
        <v>5900</v>
      </c>
      <c r="E153" s="14"/>
      <c r="F153" s="14"/>
      <c r="G153" s="14"/>
    </row>
    <row r="154" spans="1:7" x14ac:dyDescent="0.3">
      <c r="A154" s="6" t="s">
        <v>540</v>
      </c>
      <c r="B154" s="7">
        <v>1332</v>
      </c>
      <c r="C154" s="7">
        <f t="shared" si="4"/>
        <v>2131.2000000000003</v>
      </c>
      <c r="D154" s="7">
        <v>2200</v>
      </c>
      <c r="E154" s="14"/>
      <c r="F154" s="14"/>
      <c r="G154" s="14"/>
    </row>
    <row r="155" spans="1:7" x14ac:dyDescent="0.3">
      <c r="A155" s="6" t="s">
        <v>540</v>
      </c>
      <c r="B155" s="7">
        <v>1776</v>
      </c>
      <c r="C155" s="7">
        <f t="shared" si="4"/>
        <v>2841.6000000000004</v>
      </c>
      <c r="D155" s="7">
        <v>2200</v>
      </c>
      <c r="E155" s="14"/>
      <c r="F155" s="14"/>
      <c r="G155" s="14"/>
    </row>
    <row r="156" spans="1:7" x14ac:dyDescent="0.3">
      <c r="A156" s="6" t="s">
        <v>540</v>
      </c>
      <c r="B156" s="7">
        <v>1830</v>
      </c>
      <c r="C156" s="7">
        <f t="shared" si="4"/>
        <v>2928</v>
      </c>
      <c r="D156" s="7">
        <v>2900</v>
      </c>
      <c r="E156" s="14"/>
      <c r="F156" s="14"/>
      <c r="G156" s="14"/>
    </row>
    <row r="157" spans="1:7" x14ac:dyDescent="0.3">
      <c r="A157" s="6" t="s">
        <v>491</v>
      </c>
      <c r="B157" s="7">
        <v>1500</v>
      </c>
      <c r="C157" s="7">
        <f t="shared" si="4"/>
        <v>2400</v>
      </c>
      <c r="D157" s="7">
        <v>99999</v>
      </c>
      <c r="E157" s="14"/>
      <c r="F157" s="14"/>
      <c r="G157" s="14"/>
    </row>
    <row r="158" spans="1:7" x14ac:dyDescent="0.3">
      <c r="C158" s="7">
        <f t="shared" si="4"/>
        <v>0</v>
      </c>
      <c r="E158" s="14"/>
      <c r="F158" s="14"/>
      <c r="G158" s="14"/>
    </row>
    <row r="159" spans="1:7" x14ac:dyDescent="0.3">
      <c r="C159" s="7">
        <f t="shared" si="4"/>
        <v>0</v>
      </c>
      <c r="E159" s="14"/>
      <c r="F159" s="14"/>
      <c r="G159" s="14"/>
    </row>
    <row r="160" spans="1:7" x14ac:dyDescent="0.3">
      <c r="C160" s="7">
        <f t="shared" si="4"/>
        <v>0</v>
      </c>
      <c r="E160" s="14"/>
      <c r="F160" s="14"/>
      <c r="G160" s="14"/>
    </row>
    <row r="161" spans="3:7" x14ac:dyDescent="0.3">
      <c r="C161" s="7">
        <f t="shared" si="4"/>
        <v>0</v>
      </c>
      <c r="E161" s="14"/>
      <c r="F161" s="14"/>
      <c r="G161" s="14"/>
    </row>
    <row r="162" spans="3:7" x14ac:dyDescent="0.3">
      <c r="C162" s="7">
        <f t="shared" ref="C162:C163" si="5">B162*1.6</f>
        <v>0</v>
      </c>
      <c r="E162" s="14"/>
      <c r="F162" s="14"/>
      <c r="G162" s="14"/>
    </row>
    <row r="163" spans="3:7" x14ac:dyDescent="0.3">
      <c r="C163" s="7">
        <f t="shared" si="5"/>
        <v>0</v>
      </c>
      <c r="E163" s="14"/>
      <c r="F163" s="14"/>
      <c r="G163" s="14"/>
    </row>
  </sheetData>
  <sortState xmlns:xlrd2="http://schemas.microsoft.com/office/spreadsheetml/2017/richdata2" ref="A2:E57">
    <sortCondition ref="A2:A57"/>
  </sortState>
  <phoneticPr fontId="5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A073-ABA4-40E6-8674-55C3054C3D03}">
  <sheetPr codeName="Hoja13"/>
  <dimension ref="A1:G138"/>
  <sheetViews>
    <sheetView zoomScale="112" zoomScaleNormal="112" workbookViewId="0">
      <selection activeCell="A2" sqref="A2:A137 D2:D137"/>
    </sheetView>
  </sheetViews>
  <sheetFormatPr baseColWidth="10" defaultRowHeight="14.4" x14ac:dyDescent="0.3"/>
  <cols>
    <col min="1" max="1" width="74.44140625" style="6" customWidth="1"/>
    <col min="2" max="2" width="19.88671875" style="7" customWidth="1"/>
    <col min="3" max="3" width="21.109375" style="7" customWidth="1"/>
    <col min="4" max="4" width="16.5546875" style="7" customWidth="1"/>
    <col min="6" max="6" width="10.6640625" customWidth="1"/>
  </cols>
  <sheetData>
    <row r="1" spans="1:7" x14ac:dyDescent="0.3">
      <c r="A1" s="4" t="s">
        <v>0</v>
      </c>
      <c r="B1" s="5" t="s">
        <v>10</v>
      </c>
      <c r="C1" s="5" t="s">
        <v>14</v>
      </c>
      <c r="D1" s="5" t="s">
        <v>2</v>
      </c>
      <c r="E1" s="15" t="s">
        <v>29</v>
      </c>
      <c r="F1" s="15" t="s">
        <v>30</v>
      </c>
      <c r="G1" s="15" t="s">
        <v>31</v>
      </c>
    </row>
    <row r="2" spans="1:7" x14ac:dyDescent="0.3">
      <c r="A2" s="48" t="s">
        <v>1373</v>
      </c>
      <c r="B2" s="49">
        <v>4050</v>
      </c>
      <c r="C2" s="49">
        <f>B2*1.5</f>
        <v>6075</v>
      </c>
      <c r="D2" s="49">
        <v>6500</v>
      </c>
      <c r="E2" s="14"/>
      <c r="F2" s="14"/>
      <c r="G2" s="14"/>
    </row>
    <row r="3" spans="1:7" x14ac:dyDescent="0.3">
      <c r="A3" s="52" t="s">
        <v>1372</v>
      </c>
      <c r="B3" s="53">
        <v>4050</v>
      </c>
      <c r="C3" s="53">
        <f>B3*1.6</f>
        <v>6480</v>
      </c>
      <c r="D3" s="53">
        <v>6500</v>
      </c>
      <c r="E3" s="14"/>
      <c r="F3" s="14"/>
      <c r="G3" s="14"/>
    </row>
    <row r="4" spans="1:7" x14ac:dyDescent="0.3">
      <c r="A4" s="48" t="s">
        <v>1371</v>
      </c>
      <c r="B4" s="49">
        <v>4600</v>
      </c>
      <c r="C4" s="49">
        <f t="shared" ref="C4:C10" si="0">B4*1.5</f>
        <v>6900</v>
      </c>
      <c r="D4" s="49">
        <v>6900</v>
      </c>
      <c r="E4" s="14"/>
      <c r="F4" s="14"/>
      <c r="G4" s="14"/>
    </row>
    <row r="5" spans="1:7" x14ac:dyDescent="0.3">
      <c r="A5" s="52" t="s">
        <v>1370</v>
      </c>
      <c r="B5" s="53">
        <v>4280</v>
      </c>
      <c r="C5" s="53">
        <f t="shared" si="0"/>
        <v>6420</v>
      </c>
      <c r="D5" s="53">
        <v>6500</v>
      </c>
      <c r="E5" s="14"/>
      <c r="F5" s="14"/>
      <c r="G5" s="14"/>
    </row>
    <row r="6" spans="1:7" x14ac:dyDescent="0.3">
      <c r="A6" s="48" t="s">
        <v>1374</v>
      </c>
      <c r="B6" s="49">
        <v>2200</v>
      </c>
      <c r="C6" s="49">
        <f t="shared" si="0"/>
        <v>3300</v>
      </c>
      <c r="D6" s="49">
        <v>3500</v>
      </c>
      <c r="E6" s="14"/>
      <c r="F6" s="14"/>
      <c r="G6" s="14"/>
    </row>
    <row r="7" spans="1:7" x14ac:dyDescent="0.3">
      <c r="A7" s="34" t="s">
        <v>1364</v>
      </c>
      <c r="B7" s="35">
        <v>4000</v>
      </c>
      <c r="C7" s="35">
        <f t="shared" si="0"/>
        <v>6000</v>
      </c>
      <c r="D7" s="35">
        <v>6200</v>
      </c>
      <c r="E7" s="14"/>
      <c r="F7" s="14"/>
      <c r="G7" s="14"/>
    </row>
    <row r="8" spans="1:7" x14ac:dyDescent="0.3">
      <c r="A8" s="34" t="s">
        <v>1365</v>
      </c>
      <c r="B8" s="35">
        <v>4000</v>
      </c>
      <c r="C8" s="35">
        <f t="shared" si="0"/>
        <v>6000</v>
      </c>
      <c r="D8" s="35">
        <v>6200</v>
      </c>
      <c r="E8" s="14"/>
      <c r="F8" s="14"/>
      <c r="G8" s="14"/>
    </row>
    <row r="9" spans="1:7" x14ac:dyDescent="0.3">
      <c r="A9" s="54" t="s">
        <v>1362</v>
      </c>
      <c r="B9" s="55">
        <v>3890</v>
      </c>
      <c r="C9" s="55">
        <f t="shared" si="0"/>
        <v>5835</v>
      </c>
      <c r="D9" s="55">
        <v>5800</v>
      </c>
      <c r="E9" s="14"/>
      <c r="F9" s="14"/>
      <c r="G9" s="14"/>
    </row>
    <row r="10" spans="1:7" x14ac:dyDescent="0.3">
      <c r="A10" s="54" t="s">
        <v>1363</v>
      </c>
      <c r="B10" s="55">
        <v>3890</v>
      </c>
      <c r="C10" s="55">
        <f t="shared" si="0"/>
        <v>5835</v>
      </c>
      <c r="D10" s="55">
        <v>5800</v>
      </c>
      <c r="E10" s="57"/>
      <c r="F10" s="57"/>
      <c r="G10" s="57"/>
    </row>
    <row r="11" spans="1:7" x14ac:dyDescent="0.3">
      <c r="A11" s="98" t="s">
        <v>913</v>
      </c>
      <c r="B11" s="99">
        <v>4700</v>
      </c>
      <c r="C11" s="99">
        <f>B11*1.6</f>
        <v>7520</v>
      </c>
      <c r="D11" s="99">
        <v>6900</v>
      </c>
      <c r="E11" s="14"/>
      <c r="F11" s="14"/>
      <c r="G11" s="14"/>
    </row>
    <row r="12" spans="1:7" x14ac:dyDescent="0.3">
      <c r="A12" s="50" t="s">
        <v>442</v>
      </c>
      <c r="B12" s="51">
        <v>3890</v>
      </c>
      <c r="C12" s="35">
        <f>B12*1.5</f>
        <v>5835</v>
      </c>
      <c r="D12" s="51">
        <v>5800</v>
      </c>
      <c r="E12" s="14"/>
      <c r="F12" s="14"/>
      <c r="G12" s="14"/>
    </row>
    <row r="13" spans="1:7" x14ac:dyDescent="0.3">
      <c r="A13" s="50" t="s">
        <v>441</v>
      </c>
      <c r="B13" s="51">
        <v>3890</v>
      </c>
      <c r="C13" s="35">
        <f>B13*1.5</f>
        <v>5835</v>
      </c>
      <c r="D13" s="51">
        <v>5800</v>
      </c>
      <c r="E13" s="14"/>
      <c r="F13" s="14"/>
      <c r="G13" s="14"/>
    </row>
    <row r="14" spans="1:7" x14ac:dyDescent="0.3">
      <c r="A14" s="50" t="s">
        <v>440</v>
      </c>
      <c r="B14" s="51">
        <v>4400</v>
      </c>
      <c r="C14" s="35">
        <f>B14*1.5</f>
        <v>6600</v>
      </c>
      <c r="D14" s="51">
        <v>6600</v>
      </c>
      <c r="E14" s="14"/>
      <c r="F14" s="14"/>
      <c r="G14" s="14"/>
    </row>
    <row r="15" spans="1:7" x14ac:dyDescent="0.3">
      <c r="A15" s="6" t="s">
        <v>324</v>
      </c>
      <c r="B15" s="7">
        <v>2645</v>
      </c>
      <c r="C15" s="56">
        <f>B15*1.6</f>
        <v>4232</v>
      </c>
      <c r="D15" s="7">
        <v>4250</v>
      </c>
      <c r="E15" s="14"/>
      <c r="F15" s="14"/>
      <c r="G15" s="14"/>
    </row>
    <row r="16" spans="1:7" x14ac:dyDescent="0.3">
      <c r="A16" s="34" t="s">
        <v>80</v>
      </c>
      <c r="B16" s="35">
        <v>2246</v>
      </c>
      <c r="C16" s="35">
        <f>B16*1.5</f>
        <v>3369</v>
      </c>
      <c r="D16" s="35">
        <v>3200</v>
      </c>
      <c r="E16" s="14"/>
      <c r="F16" s="14"/>
      <c r="G16" s="14"/>
    </row>
    <row r="17" spans="1:7" x14ac:dyDescent="0.3">
      <c r="A17" s="48" t="s">
        <v>316</v>
      </c>
      <c r="B17" s="103">
        <v>5500</v>
      </c>
      <c r="C17" s="35">
        <f>B17*1.4</f>
        <v>7699.9999999999991</v>
      </c>
      <c r="D17" s="49">
        <v>7700</v>
      </c>
      <c r="E17" s="57"/>
      <c r="F17" s="57"/>
      <c r="G17" s="57"/>
    </row>
    <row r="18" spans="1:7" x14ac:dyDescent="0.3">
      <c r="A18" s="48" t="s">
        <v>315</v>
      </c>
      <c r="B18" s="103">
        <v>4500</v>
      </c>
      <c r="C18" s="35">
        <f>B18*1.5</f>
        <v>6750</v>
      </c>
      <c r="D18" s="49">
        <v>6800</v>
      </c>
      <c r="E18" s="57"/>
      <c r="F18" s="57"/>
      <c r="G18" s="57"/>
    </row>
    <row r="19" spans="1:7" x14ac:dyDescent="0.3">
      <c r="A19" s="6" t="s">
        <v>308</v>
      </c>
      <c r="B19" s="7">
        <v>3000</v>
      </c>
      <c r="C19" s="35">
        <f>B19*1.6</f>
        <v>4800</v>
      </c>
      <c r="D19" s="7">
        <v>4800</v>
      </c>
      <c r="E19" s="14"/>
      <c r="F19" s="14"/>
      <c r="G19" s="14"/>
    </row>
    <row r="20" spans="1:7" x14ac:dyDescent="0.3">
      <c r="A20" s="6" t="s">
        <v>1431</v>
      </c>
      <c r="B20" s="7">
        <v>4360</v>
      </c>
      <c r="C20" s="35">
        <f>B20*1.5</f>
        <v>6540</v>
      </c>
      <c r="D20" s="7">
        <v>6900</v>
      </c>
      <c r="E20" s="57"/>
      <c r="F20" s="57"/>
      <c r="G20" s="57"/>
    </row>
    <row r="21" spans="1:7" x14ac:dyDescent="0.3">
      <c r="A21" s="50" t="s">
        <v>1377</v>
      </c>
      <c r="B21" s="51">
        <v>3150</v>
      </c>
      <c r="C21" s="35">
        <f>B21*1.6</f>
        <v>5040</v>
      </c>
      <c r="D21" s="51">
        <v>4900</v>
      </c>
      <c r="E21" s="14"/>
      <c r="F21" s="14"/>
      <c r="G21" s="14"/>
    </row>
    <row r="22" spans="1:7" x14ac:dyDescent="0.3">
      <c r="A22" s="6" t="s">
        <v>269</v>
      </c>
      <c r="B22" s="7">
        <v>3300</v>
      </c>
      <c r="C22" s="35">
        <f>B22*1.5</f>
        <v>4950</v>
      </c>
      <c r="D22" s="7">
        <v>4900</v>
      </c>
      <c r="E22" s="14"/>
      <c r="F22" s="14"/>
      <c r="G22" s="14"/>
    </row>
    <row r="23" spans="1:7" x14ac:dyDescent="0.3">
      <c r="A23" s="52" t="s">
        <v>268</v>
      </c>
      <c r="B23" s="53">
        <v>2500</v>
      </c>
      <c r="C23" s="53">
        <f>B23*1.5</f>
        <v>3750</v>
      </c>
      <c r="D23" s="53">
        <v>3900</v>
      </c>
      <c r="E23" s="14"/>
      <c r="F23" s="14"/>
      <c r="G23" s="14"/>
    </row>
    <row r="24" spans="1:7" x14ac:dyDescent="0.3">
      <c r="A24" s="6" t="s">
        <v>342</v>
      </c>
      <c r="B24" s="7">
        <v>3280</v>
      </c>
      <c r="C24" s="35">
        <f>B24*1.5</f>
        <v>4920</v>
      </c>
      <c r="D24" s="7">
        <v>4900</v>
      </c>
      <c r="E24" s="14"/>
      <c r="F24" s="14"/>
      <c r="G24" s="14"/>
    </row>
    <row r="25" spans="1:7" x14ac:dyDescent="0.3">
      <c r="A25" s="54" t="s">
        <v>343</v>
      </c>
      <c r="B25" s="55">
        <v>2426</v>
      </c>
      <c r="C25" s="55">
        <f>B25*1.5</f>
        <v>3639</v>
      </c>
      <c r="D25" s="55">
        <v>3600</v>
      </c>
      <c r="E25" s="14"/>
      <c r="F25" s="14"/>
      <c r="G25" s="14"/>
    </row>
    <row r="26" spans="1:7" x14ac:dyDescent="0.3">
      <c r="A26" s="54" t="s">
        <v>1041</v>
      </c>
      <c r="B26" s="55">
        <v>2500</v>
      </c>
      <c r="C26" s="55">
        <f>B26*1.7</f>
        <v>4250</v>
      </c>
      <c r="D26" s="55">
        <v>4300</v>
      </c>
      <c r="E26" s="14"/>
      <c r="F26" s="14"/>
      <c r="G26" s="14"/>
    </row>
    <row r="27" spans="1:7" x14ac:dyDescent="0.3">
      <c r="A27" s="54" t="s">
        <v>303</v>
      </c>
      <c r="B27" s="55">
        <v>1960</v>
      </c>
      <c r="C27" s="55">
        <f>B27*1.7</f>
        <v>3332</v>
      </c>
      <c r="D27" s="55">
        <v>3400</v>
      </c>
      <c r="E27" s="14"/>
      <c r="F27" s="14"/>
      <c r="G27" s="14"/>
    </row>
    <row r="28" spans="1:7" x14ac:dyDescent="0.3">
      <c r="A28" s="71" t="s">
        <v>304</v>
      </c>
      <c r="B28" s="72">
        <v>2093</v>
      </c>
      <c r="C28" s="72">
        <f>B28*1.6</f>
        <v>3348.8</v>
      </c>
      <c r="D28" s="72">
        <v>3400</v>
      </c>
      <c r="E28" s="14"/>
      <c r="F28" s="14"/>
      <c r="G28" s="14"/>
    </row>
    <row r="29" spans="1:7" x14ac:dyDescent="0.3">
      <c r="A29" s="54" t="s">
        <v>305</v>
      </c>
      <c r="B29" s="55">
        <v>2230</v>
      </c>
      <c r="C29" s="55">
        <f>B29*1.6</f>
        <v>3568</v>
      </c>
      <c r="D29" s="55">
        <v>3400</v>
      </c>
      <c r="E29" s="14"/>
      <c r="F29" s="14"/>
      <c r="G29" s="14"/>
    </row>
    <row r="30" spans="1:7" x14ac:dyDescent="0.3">
      <c r="A30" s="71" t="s">
        <v>306</v>
      </c>
      <c r="B30" s="72">
        <v>2131</v>
      </c>
      <c r="C30" s="72">
        <f>B30*1.6</f>
        <v>3409.6000000000004</v>
      </c>
      <c r="D30" s="72">
        <v>3400</v>
      </c>
      <c r="E30" s="14"/>
      <c r="F30" s="14"/>
      <c r="G30" s="14"/>
    </row>
    <row r="31" spans="1:7" x14ac:dyDescent="0.3">
      <c r="A31" s="71" t="s">
        <v>162</v>
      </c>
      <c r="B31" s="72">
        <v>2060</v>
      </c>
      <c r="C31" s="72">
        <f>B31*1.6</f>
        <v>3296</v>
      </c>
      <c r="D31" s="72">
        <v>3290</v>
      </c>
      <c r="E31" s="14"/>
      <c r="F31" s="14"/>
      <c r="G31" s="14"/>
    </row>
    <row r="32" spans="1:7" x14ac:dyDescent="0.3">
      <c r="A32" s="54" t="s">
        <v>307</v>
      </c>
      <c r="B32" s="55">
        <v>2160</v>
      </c>
      <c r="C32" s="55">
        <f>B32*1.7</f>
        <v>3672</v>
      </c>
      <c r="D32" s="55">
        <v>3700</v>
      </c>
      <c r="E32" s="14"/>
      <c r="F32" s="14"/>
      <c r="G32" s="14"/>
    </row>
    <row r="33" spans="1:7" x14ac:dyDescent="0.3">
      <c r="A33" s="98" t="s">
        <v>1366</v>
      </c>
      <c r="B33" s="99">
        <v>1050</v>
      </c>
      <c r="C33" s="99">
        <f>B33*1.6</f>
        <v>1680</v>
      </c>
      <c r="D33" s="99">
        <v>1800</v>
      </c>
      <c r="E33" s="14"/>
      <c r="F33" s="14"/>
      <c r="G33" s="14"/>
    </row>
    <row r="34" spans="1:7" x14ac:dyDescent="0.3">
      <c r="A34" s="122" t="s">
        <v>1367</v>
      </c>
      <c r="B34" s="123">
        <v>1500</v>
      </c>
      <c r="C34" s="123">
        <f>B34*1.6</f>
        <v>2400</v>
      </c>
      <c r="D34" s="123">
        <v>2500</v>
      </c>
      <c r="E34" s="14"/>
      <c r="F34" s="14"/>
      <c r="G34" s="14"/>
    </row>
    <row r="35" spans="1:7" x14ac:dyDescent="0.3">
      <c r="A35" s="71" t="s">
        <v>1369</v>
      </c>
      <c r="B35" s="72">
        <v>4000</v>
      </c>
      <c r="C35" s="72">
        <f>B35*1.5</f>
        <v>6000</v>
      </c>
      <c r="D35" s="72">
        <v>5900</v>
      </c>
      <c r="E35" s="14"/>
      <c r="F35" s="14"/>
      <c r="G35" s="14"/>
    </row>
    <row r="36" spans="1:7" x14ac:dyDescent="0.3">
      <c r="A36" s="54" t="s">
        <v>1368</v>
      </c>
      <c r="B36" s="55">
        <v>2793</v>
      </c>
      <c r="C36" s="55">
        <f>B36*1.6</f>
        <v>4468.8</v>
      </c>
      <c r="D36" s="55">
        <v>4450</v>
      </c>
      <c r="E36" s="14"/>
      <c r="F36" s="14"/>
      <c r="G36" s="14"/>
    </row>
    <row r="37" spans="1:7" x14ac:dyDescent="0.3">
      <c r="A37" s="71" t="s">
        <v>309</v>
      </c>
      <c r="B37" s="72">
        <v>2350</v>
      </c>
      <c r="C37" s="72">
        <f>B37*1.6</f>
        <v>3760</v>
      </c>
      <c r="D37" s="72">
        <v>3700</v>
      </c>
      <c r="E37" s="14"/>
      <c r="F37" s="14"/>
      <c r="G37" s="14"/>
    </row>
    <row r="38" spans="1:7" x14ac:dyDescent="0.3">
      <c r="A38" s="6" t="s">
        <v>325</v>
      </c>
      <c r="B38" s="7">
        <v>2900</v>
      </c>
      <c r="C38" s="35">
        <f>B38*1.6</f>
        <v>4640</v>
      </c>
      <c r="D38" s="7">
        <v>4400</v>
      </c>
      <c r="E38" s="14"/>
      <c r="F38" s="14"/>
      <c r="G38" s="14"/>
    </row>
    <row r="39" spans="1:7" x14ac:dyDescent="0.3">
      <c r="A39" s="71" t="s">
        <v>1375</v>
      </c>
      <c r="B39" s="72">
        <v>3260</v>
      </c>
      <c r="C39" s="72">
        <f>B39*1.5</f>
        <v>4890</v>
      </c>
      <c r="D39" s="72">
        <v>4800</v>
      </c>
      <c r="E39" s="14"/>
      <c r="F39" s="14"/>
      <c r="G39" s="14"/>
    </row>
    <row r="40" spans="1:7" x14ac:dyDescent="0.3">
      <c r="A40" s="54" t="s">
        <v>326</v>
      </c>
      <c r="B40" s="55">
        <v>2680</v>
      </c>
      <c r="C40" s="55">
        <f>B40*1.6</f>
        <v>4288</v>
      </c>
      <c r="D40" s="55">
        <v>4300</v>
      </c>
      <c r="E40" s="14"/>
      <c r="F40" s="14"/>
      <c r="G40" s="14"/>
    </row>
    <row r="41" spans="1:7" x14ac:dyDescent="0.3">
      <c r="A41" s="54" t="s">
        <v>557</v>
      </c>
      <c r="B41" s="55">
        <v>5200</v>
      </c>
      <c r="C41" s="55">
        <f>B41*1.6</f>
        <v>8320</v>
      </c>
      <c r="D41" s="55">
        <v>7900</v>
      </c>
      <c r="E41" s="14"/>
      <c r="F41" s="14"/>
      <c r="G41" s="14"/>
    </row>
    <row r="42" spans="1:7" x14ac:dyDescent="0.3">
      <c r="A42" s="68" t="s">
        <v>1376</v>
      </c>
      <c r="B42" s="69">
        <v>2638</v>
      </c>
      <c r="C42" s="69">
        <f>B42*1.6</f>
        <v>4220.8</v>
      </c>
      <c r="D42" s="69">
        <v>4200</v>
      </c>
      <c r="E42" s="14"/>
      <c r="F42" s="14"/>
      <c r="G42" s="14"/>
    </row>
    <row r="43" spans="1:7" x14ac:dyDescent="0.3">
      <c r="A43" s="6" t="s">
        <v>1353</v>
      </c>
      <c r="B43" s="7">
        <v>3860</v>
      </c>
      <c r="C43" s="35">
        <f>B43*1.5</f>
        <v>5790</v>
      </c>
      <c r="D43" s="7">
        <v>5900</v>
      </c>
      <c r="E43" s="14"/>
      <c r="F43" s="14"/>
      <c r="G43" s="14"/>
    </row>
    <row r="44" spans="1:7" x14ac:dyDescent="0.3">
      <c r="A44" s="48" t="s">
        <v>143</v>
      </c>
      <c r="B44" s="49">
        <v>3050</v>
      </c>
      <c r="C44" s="49">
        <f>B44*1.5</f>
        <v>4575</v>
      </c>
      <c r="D44" s="49">
        <v>4600</v>
      </c>
      <c r="E44" s="14"/>
      <c r="F44" s="14"/>
      <c r="G44" s="14"/>
    </row>
    <row r="45" spans="1:7" x14ac:dyDescent="0.3">
      <c r="A45" s="50" t="s">
        <v>884</v>
      </c>
      <c r="B45" s="51">
        <v>1300</v>
      </c>
      <c r="C45" s="35">
        <f>B45*1.6</f>
        <v>2080</v>
      </c>
      <c r="D45" s="51">
        <v>1300</v>
      </c>
      <c r="E45" s="14"/>
      <c r="F45" s="14"/>
      <c r="G45" s="14"/>
    </row>
    <row r="46" spans="1:7" x14ac:dyDescent="0.3">
      <c r="A46" s="6" t="s">
        <v>883</v>
      </c>
      <c r="B46" s="7">
        <v>1350</v>
      </c>
      <c r="C46" s="35">
        <f>B46*1.6</f>
        <v>2160</v>
      </c>
      <c r="D46" s="7">
        <v>2500</v>
      </c>
      <c r="E46" s="14"/>
      <c r="F46" s="14"/>
      <c r="G46" s="14"/>
    </row>
    <row r="47" spans="1:7" x14ac:dyDescent="0.3">
      <c r="A47" s="6" t="s">
        <v>885</v>
      </c>
      <c r="B47" s="7">
        <v>2000</v>
      </c>
      <c r="C47" s="35">
        <f>B47*1.6</f>
        <v>3200</v>
      </c>
      <c r="D47" s="7">
        <v>3000</v>
      </c>
      <c r="E47" s="14"/>
      <c r="F47" s="14"/>
      <c r="G47" s="14"/>
    </row>
    <row r="48" spans="1:7" x14ac:dyDescent="0.3">
      <c r="A48" s="6" t="s">
        <v>91</v>
      </c>
      <c r="B48" s="7">
        <v>2840</v>
      </c>
      <c r="C48" s="35">
        <f>B48*1.5</f>
        <v>4260</v>
      </c>
      <c r="D48" s="7">
        <v>4300</v>
      </c>
      <c r="E48" s="14"/>
      <c r="F48" s="14"/>
      <c r="G48" s="14"/>
    </row>
    <row r="49" spans="1:7" x14ac:dyDescent="0.3">
      <c r="A49" s="6" t="s">
        <v>92</v>
      </c>
      <c r="B49" s="7">
        <v>2840</v>
      </c>
      <c r="C49" s="35">
        <f>B49*1.6</f>
        <v>4544</v>
      </c>
      <c r="D49" s="7">
        <v>4300</v>
      </c>
      <c r="E49" s="14"/>
      <c r="F49" s="14"/>
      <c r="G49" s="14"/>
    </row>
    <row r="50" spans="1:7" x14ac:dyDescent="0.3">
      <c r="A50" s="6" t="s">
        <v>310</v>
      </c>
      <c r="B50" s="7">
        <v>2900</v>
      </c>
      <c r="C50" s="35">
        <f>B50*1.5</f>
        <v>4350</v>
      </c>
      <c r="D50" s="7">
        <v>4350</v>
      </c>
      <c r="E50" s="14"/>
      <c r="F50" s="14"/>
      <c r="G50" s="14"/>
    </row>
    <row r="51" spans="1:7" x14ac:dyDescent="0.3">
      <c r="A51" s="6" t="s">
        <v>311</v>
      </c>
      <c r="B51" s="7">
        <v>2900</v>
      </c>
      <c r="C51" s="35">
        <f>B51*1.5</f>
        <v>4350</v>
      </c>
      <c r="D51" s="7">
        <v>4350</v>
      </c>
      <c r="E51" s="14"/>
      <c r="F51" s="14"/>
      <c r="G51" s="14"/>
    </row>
    <row r="52" spans="1:7" x14ac:dyDescent="0.3">
      <c r="A52" s="98" t="s">
        <v>68</v>
      </c>
      <c r="B52" s="99">
        <v>2300</v>
      </c>
      <c r="C52" s="99">
        <f>B52*1.6</f>
        <v>3680</v>
      </c>
      <c r="D52" s="99">
        <v>5500</v>
      </c>
      <c r="E52" s="14"/>
      <c r="F52" s="14"/>
      <c r="G52" s="14"/>
    </row>
    <row r="53" spans="1:7" x14ac:dyDescent="0.3">
      <c r="A53" s="98" t="s">
        <v>69</v>
      </c>
      <c r="B53" s="99">
        <v>3400</v>
      </c>
      <c r="C53" s="99">
        <f>B53*1.6</f>
        <v>5440</v>
      </c>
      <c r="D53" s="99">
        <v>6500</v>
      </c>
      <c r="E53" s="14"/>
      <c r="F53" s="14"/>
      <c r="G53" s="14"/>
    </row>
    <row r="54" spans="1:7" x14ac:dyDescent="0.3">
      <c r="A54" s="6" t="s">
        <v>323</v>
      </c>
      <c r="B54" s="7">
        <v>3100</v>
      </c>
      <c r="C54" s="35">
        <f>B54*1.6</f>
        <v>4960</v>
      </c>
      <c r="D54" s="7">
        <v>4900</v>
      </c>
      <c r="E54" s="14"/>
      <c r="F54" s="14"/>
      <c r="G54" s="14"/>
    </row>
    <row r="55" spans="1:7" x14ac:dyDescent="0.3">
      <c r="A55" s="54" t="s">
        <v>510</v>
      </c>
      <c r="B55" s="55">
        <v>3150</v>
      </c>
      <c r="C55" s="55">
        <f>B55*1.5</f>
        <v>4725</v>
      </c>
      <c r="D55" s="55">
        <v>4700</v>
      </c>
      <c r="E55" s="14"/>
      <c r="F55" s="14"/>
      <c r="G55" s="14"/>
    </row>
    <row r="56" spans="1:7" x14ac:dyDescent="0.3">
      <c r="A56" s="92" t="s">
        <v>205</v>
      </c>
      <c r="B56" s="104">
        <v>1110</v>
      </c>
      <c r="C56" s="104">
        <f>B56*1.6</f>
        <v>1776</v>
      </c>
      <c r="D56" s="104">
        <v>1800</v>
      </c>
      <c r="E56" s="14"/>
      <c r="F56" s="14"/>
      <c r="G56" s="14"/>
    </row>
    <row r="57" spans="1:7" x14ac:dyDescent="0.3">
      <c r="A57" s="68" t="s">
        <v>205</v>
      </c>
      <c r="B57" s="69">
        <v>1016</v>
      </c>
      <c r="C57" s="69">
        <f>B57*1.6</f>
        <v>1625.6000000000001</v>
      </c>
      <c r="D57" s="69">
        <v>1600</v>
      </c>
      <c r="E57" s="14"/>
      <c r="F57" s="14"/>
      <c r="G57" s="14"/>
    </row>
    <row r="58" spans="1:7" x14ac:dyDescent="0.3">
      <c r="A58" s="71"/>
      <c r="B58" s="72"/>
      <c r="C58" s="72">
        <f>B58*1.5</f>
        <v>0</v>
      </c>
      <c r="D58" s="72"/>
      <c r="E58" s="14"/>
      <c r="F58" s="14"/>
      <c r="G58" s="14"/>
    </row>
    <row r="59" spans="1:7" x14ac:dyDescent="0.3">
      <c r="A59" s="71"/>
      <c r="B59" s="72"/>
      <c r="C59" s="72">
        <f>B59*1.6</f>
        <v>0</v>
      </c>
      <c r="D59" s="72"/>
      <c r="E59" s="14"/>
      <c r="F59" s="14"/>
      <c r="G59" s="14"/>
    </row>
    <row r="60" spans="1:7" x14ac:dyDescent="0.3">
      <c r="B60" s="75"/>
      <c r="C60" s="35">
        <f>B60*1.6</f>
        <v>0</v>
      </c>
      <c r="E60" s="57"/>
      <c r="F60" s="57"/>
      <c r="G60" s="57"/>
    </row>
    <row r="61" spans="1:7" x14ac:dyDescent="0.3">
      <c r="A61" s="54"/>
      <c r="B61" s="55"/>
      <c r="C61" s="55">
        <f>B61*1.7</f>
        <v>0</v>
      </c>
      <c r="D61" s="55"/>
      <c r="E61" s="57"/>
      <c r="F61" s="57"/>
      <c r="G61" s="57"/>
    </row>
    <row r="62" spans="1:7" x14ac:dyDescent="0.3">
      <c r="A62" s="34"/>
      <c r="B62" s="35"/>
      <c r="C62" s="35">
        <f>B62*1.4</f>
        <v>0</v>
      </c>
      <c r="D62" s="35"/>
      <c r="E62" s="14"/>
      <c r="F62" s="14"/>
      <c r="G62" s="14"/>
    </row>
    <row r="63" spans="1:7" x14ac:dyDescent="0.3">
      <c r="A63" s="54"/>
      <c r="B63" s="55"/>
      <c r="C63" s="55">
        <f>B63*1.5</f>
        <v>0</v>
      </c>
      <c r="D63" s="55"/>
      <c r="E63" s="14"/>
      <c r="F63" s="14"/>
      <c r="G63" s="14"/>
    </row>
    <row r="64" spans="1:7" x14ac:dyDescent="0.3">
      <c r="A64" s="34"/>
      <c r="B64" s="35"/>
      <c r="C64" s="35">
        <f>B64*1.6</f>
        <v>0</v>
      </c>
      <c r="D64" s="35"/>
      <c r="E64" s="57"/>
      <c r="F64" s="57"/>
      <c r="G64" s="57"/>
    </row>
    <row r="65" spans="1:7" x14ac:dyDescent="0.3">
      <c r="C65" s="35">
        <f>B65*1.7</f>
        <v>0</v>
      </c>
      <c r="E65" s="14"/>
      <c r="F65" s="14"/>
      <c r="G65" s="14"/>
    </row>
    <row r="66" spans="1:7" x14ac:dyDescent="0.3">
      <c r="A66" s="34"/>
      <c r="B66" s="35"/>
      <c r="C66" s="35">
        <f>B66*1.6</f>
        <v>0</v>
      </c>
      <c r="D66" s="35"/>
      <c r="E66" s="14"/>
      <c r="F66" s="14"/>
      <c r="G66" s="14"/>
    </row>
    <row r="67" spans="1:7" x14ac:dyDescent="0.3">
      <c r="B67" s="75"/>
      <c r="C67" s="35">
        <f>B67*1.5</f>
        <v>0</v>
      </c>
      <c r="E67" s="14"/>
      <c r="F67" s="14"/>
      <c r="G67" s="14"/>
    </row>
    <row r="68" spans="1:7" x14ac:dyDescent="0.3">
      <c r="A68" s="34"/>
      <c r="B68" s="35"/>
      <c r="C68" s="35">
        <f>B68*1.6</f>
        <v>0</v>
      </c>
      <c r="D68" s="35"/>
      <c r="E68" s="14"/>
      <c r="F68" s="14"/>
      <c r="G68" s="14"/>
    </row>
    <row r="69" spans="1:7" x14ac:dyDescent="0.3">
      <c r="A69" s="71"/>
      <c r="B69" s="72"/>
      <c r="C69" s="72">
        <f>B69*1.5</f>
        <v>0</v>
      </c>
      <c r="D69" s="72"/>
      <c r="E69" s="14"/>
      <c r="F69" s="14"/>
      <c r="G69" s="14"/>
    </row>
    <row r="70" spans="1:7" x14ac:dyDescent="0.3">
      <c r="A70" s="54"/>
      <c r="B70" s="55"/>
      <c r="C70" s="55">
        <f>B70*1.5</f>
        <v>0</v>
      </c>
      <c r="D70" s="55"/>
      <c r="E70" s="14"/>
      <c r="F70" s="14"/>
      <c r="G70" s="14"/>
    </row>
    <row r="71" spans="1:7" x14ac:dyDescent="0.3">
      <c r="A71" s="71"/>
      <c r="B71" s="72"/>
      <c r="C71" s="72">
        <f>B71*1.6</f>
        <v>0</v>
      </c>
      <c r="D71" s="72"/>
      <c r="E71" s="14"/>
      <c r="F71" s="14"/>
      <c r="G71" s="14"/>
    </row>
    <row r="72" spans="1:7" x14ac:dyDescent="0.3">
      <c r="A72" s="54"/>
      <c r="B72" s="55"/>
      <c r="C72" s="55">
        <f>B72*1.5</f>
        <v>0</v>
      </c>
      <c r="D72" s="55"/>
      <c r="E72" s="14"/>
      <c r="F72" s="14"/>
      <c r="G72" s="14"/>
    </row>
    <row r="73" spans="1:7" x14ac:dyDescent="0.3">
      <c r="A73" s="71"/>
      <c r="B73" s="72"/>
      <c r="C73" s="72">
        <f>B73*1.4</f>
        <v>0</v>
      </c>
      <c r="D73" s="72"/>
      <c r="E73" s="14"/>
      <c r="F73" s="14"/>
      <c r="G73" s="14"/>
    </row>
    <row r="74" spans="1:7" x14ac:dyDescent="0.3">
      <c r="A74" s="54"/>
      <c r="B74" s="55"/>
      <c r="C74" s="55">
        <f t="shared" ref="C74:C82" si="1">B74*1.5</f>
        <v>0</v>
      </c>
      <c r="D74" s="55"/>
      <c r="E74" s="14"/>
      <c r="F74" s="14"/>
      <c r="G74" s="14"/>
    </row>
    <row r="75" spans="1:7" x14ac:dyDescent="0.3">
      <c r="A75" s="71"/>
      <c r="B75" s="72"/>
      <c r="C75" s="72">
        <f t="shared" si="1"/>
        <v>0</v>
      </c>
      <c r="D75" s="72"/>
      <c r="E75" s="14"/>
      <c r="F75" s="14"/>
      <c r="G75" s="14"/>
    </row>
    <row r="76" spans="1:7" x14ac:dyDescent="0.3">
      <c r="A76" s="54"/>
      <c r="B76" s="55"/>
      <c r="C76" s="55">
        <f t="shared" si="1"/>
        <v>0</v>
      </c>
      <c r="D76" s="55"/>
      <c r="E76" s="14"/>
      <c r="F76" s="14"/>
      <c r="G76" s="14"/>
    </row>
    <row r="77" spans="1:7" x14ac:dyDescent="0.3">
      <c r="A77" s="71"/>
      <c r="B77" s="72"/>
      <c r="C77" s="72">
        <f t="shared" si="1"/>
        <v>0</v>
      </c>
      <c r="D77" s="72"/>
      <c r="E77" s="14"/>
      <c r="F77" s="14"/>
      <c r="G77" s="14"/>
    </row>
    <row r="78" spans="1:7" x14ac:dyDescent="0.3">
      <c r="A78" s="54"/>
      <c r="B78" s="55"/>
      <c r="C78" s="55">
        <f t="shared" si="1"/>
        <v>0</v>
      </c>
      <c r="D78" s="55"/>
      <c r="E78" s="14"/>
      <c r="F78" s="14"/>
      <c r="G78" s="14"/>
    </row>
    <row r="79" spans="1:7" x14ac:dyDescent="0.3">
      <c r="A79" s="71"/>
      <c r="B79" s="72"/>
      <c r="C79" s="72">
        <f t="shared" si="1"/>
        <v>0</v>
      </c>
      <c r="D79" s="72"/>
      <c r="E79" s="14"/>
      <c r="F79" s="14"/>
      <c r="G79" s="14"/>
    </row>
    <row r="80" spans="1:7" x14ac:dyDescent="0.3">
      <c r="A80" s="54"/>
      <c r="B80" s="55"/>
      <c r="C80" s="55">
        <f t="shared" si="1"/>
        <v>0</v>
      </c>
      <c r="D80" s="55"/>
      <c r="E80" s="14"/>
      <c r="F80" s="14"/>
      <c r="G80" s="14"/>
    </row>
    <row r="81" spans="1:7" x14ac:dyDescent="0.3">
      <c r="A81" s="71"/>
      <c r="B81" s="72"/>
      <c r="C81" s="72">
        <f t="shared" si="1"/>
        <v>0</v>
      </c>
      <c r="D81" s="72"/>
      <c r="E81" s="14"/>
      <c r="F81" s="14"/>
      <c r="G81" s="14"/>
    </row>
    <row r="82" spans="1:7" x14ac:dyDescent="0.3">
      <c r="A82" s="54"/>
      <c r="B82" s="55"/>
      <c r="C82" s="55">
        <f t="shared" si="1"/>
        <v>0</v>
      </c>
      <c r="D82" s="55"/>
      <c r="E82" s="14"/>
      <c r="F82" s="14"/>
      <c r="G82" s="14"/>
    </row>
    <row r="83" spans="1:7" x14ac:dyDescent="0.3">
      <c r="A83" s="54"/>
      <c r="B83" s="55"/>
      <c r="C83" s="55">
        <f>B83*1.6</f>
        <v>0</v>
      </c>
      <c r="D83" s="55"/>
      <c r="E83" s="14"/>
      <c r="F83" s="14"/>
      <c r="G83" s="14"/>
    </row>
    <row r="84" spans="1:7" x14ac:dyDescent="0.3">
      <c r="C84" s="35">
        <f>B84*1.5</f>
        <v>0</v>
      </c>
      <c r="E84" s="14"/>
      <c r="F84" s="14"/>
      <c r="G84" s="14"/>
    </row>
    <row r="85" spans="1:7" x14ac:dyDescent="0.3">
      <c r="C85" s="35">
        <f>B85*1.6</f>
        <v>0</v>
      </c>
      <c r="E85" s="14"/>
      <c r="F85" s="14"/>
      <c r="G85" s="14"/>
    </row>
    <row r="86" spans="1:7" x14ac:dyDescent="0.3">
      <c r="C86" s="35">
        <f>B86*1.6</f>
        <v>0</v>
      </c>
      <c r="E86" s="14"/>
      <c r="F86" s="14"/>
      <c r="G86" s="14"/>
    </row>
    <row r="87" spans="1:7" x14ac:dyDescent="0.3">
      <c r="A87" s="71"/>
      <c r="B87" s="72"/>
      <c r="C87" s="72">
        <f>B87*1.4</f>
        <v>0</v>
      </c>
      <c r="D87" s="72"/>
      <c r="E87" s="14"/>
      <c r="F87" s="14"/>
      <c r="G87" s="14"/>
    </row>
    <row r="88" spans="1:7" x14ac:dyDescent="0.3">
      <c r="A88" s="34"/>
      <c r="B88" s="35"/>
      <c r="C88" s="35">
        <f>B88*1.5</f>
        <v>0</v>
      </c>
      <c r="D88" s="35"/>
      <c r="E88" s="14"/>
      <c r="F88" s="14"/>
      <c r="G88" s="14"/>
    </row>
    <row r="89" spans="1:7" x14ac:dyDescent="0.3">
      <c r="A89" s="120"/>
      <c r="B89" s="121"/>
      <c r="C89" s="121">
        <f t="shared" ref="C89:C94" si="2">B89*1.6</f>
        <v>0</v>
      </c>
      <c r="D89" s="121"/>
      <c r="E89" s="57"/>
      <c r="F89" s="57"/>
      <c r="G89" s="57"/>
    </row>
    <row r="90" spans="1:7" x14ac:dyDescent="0.3">
      <c r="A90" s="120"/>
      <c r="B90" s="121"/>
      <c r="C90" s="121">
        <f t="shared" si="2"/>
        <v>0</v>
      </c>
      <c r="D90" s="121"/>
      <c r="E90" s="57"/>
      <c r="F90" s="57"/>
      <c r="G90" s="57"/>
    </row>
    <row r="91" spans="1:7" x14ac:dyDescent="0.3">
      <c r="A91" s="52"/>
      <c r="B91" s="53"/>
      <c r="C91" s="35">
        <f t="shared" si="2"/>
        <v>0</v>
      </c>
      <c r="D91" s="53"/>
      <c r="E91" s="14"/>
      <c r="F91" s="14"/>
      <c r="G91" s="14"/>
    </row>
    <row r="92" spans="1:7" x14ac:dyDescent="0.3">
      <c r="A92" s="54"/>
      <c r="B92" s="55"/>
      <c r="C92" s="35">
        <f t="shared" si="2"/>
        <v>0</v>
      </c>
      <c r="D92" s="55"/>
      <c r="E92" s="14"/>
      <c r="F92" s="14"/>
      <c r="G92" s="14"/>
    </row>
    <row r="93" spans="1:7" x14ac:dyDescent="0.3">
      <c r="A93" s="54"/>
      <c r="B93" s="55"/>
      <c r="C93" s="35">
        <f t="shared" si="2"/>
        <v>0</v>
      </c>
      <c r="D93" s="55"/>
      <c r="E93" s="14"/>
      <c r="F93" s="14"/>
      <c r="G93" s="14"/>
    </row>
    <row r="94" spans="1:7" x14ac:dyDescent="0.3">
      <c r="A94" s="54"/>
      <c r="B94" s="55"/>
      <c r="C94" s="35">
        <f t="shared" si="2"/>
        <v>0</v>
      </c>
      <c r="D94" s="55"/>
      <c r="E94" s="14"/>
      <c r="F94" s="14"/>
      <c r="G94" s="14"/>
    </row>
    <row r="95" spans="1:7" x14ac:dyDescent="0.3">
      <c r="A95" s="54"/>
      <c r="B95" s="55"/>
      <c r="C95" s="55">
        <f>B95*1.5</f>
        <v>0</v>
      </c>
      <c r="D95" s="55"/>
      <c r="E95" s="14"/>
      <c r="F95" s="14"/>
      <c r="G95" s="14"/>
    </row>
    <row r="96" spans="1:7" x14ac:dyDescent="0.3">
      <c r="C96" s="35">
        <f t="shared" ref="C96:C103" si="3">B96*1.6</f>
        <v>0</v>
      </c>
      <c r="E96" s="14"/>
      <c r="F96" s="14"/>
      <c r="G96" s="14"/>
    </row>
    <row r="97" spans="1:7" x14ac:dyDescent="0.3">
      <c r="C97" s="35">
        <f t="shared" si="3"/>
        <v>0</v>
      </c>
      <c r="E97" s="14"/>
      <c r="F97" s="14"/>
      <c r="G97" s="14"/>
    </row>
    <row r="98" spans="1:7" x14ac:dyDescent="0.3">
      <c r="C98" s="35">
        <f t="shared" si="3"/>
        <v>0</v>
      </c>
      <c r="E98" s="14"/>
      <c r="F98" s="14"/>
      <c r="G98" s="14"/>
    </row>
    <row r="99" spans="1:7" x14ac:dyDescent="0.3">
      <c r="A99" s="124"/>
      <c r="B99" s="125"/>
      <c r="C99" s="125">
        <f t="shared" si="3"/>
        <v>0</v>
      </c>
      <c r="D99" s="125"/>
      <c r="E99" s="57"/>
      <c r="F99" s="57"/>
      <c r="G99" s="57"/>
    </row>
    <row r="100" spans="1:7" x14ac:dyDescent="0.3">
      <c r="A100" s="124"/>
      <c r="B100" s="125"/>
      <c r="C100" s="125">
        <f t="shared" si="3"/>
        <v>0</v>
      </c>
      <c r="D100" s="125"/>
      <c r="E100" s="57"/>
      <c r="F100" s="57"/>
      <c r="G100" s="57"/>
    </row>
    <row r="101" spans="1:7" x14ac:dyDescent="0.3">
      <c r="A101" s="124"/>
      <c r="B101" s="125"/>
      <c r="C101" s="125">
        <f t="shared" si="3"/>
        <v>0</v>
      </c>
      <c r="D101" s="125"/>
      <c r="E101" s="57"/>
      <c r="F101" s="57"/>
      <c r="G101" s="57"/>
    </row>
    <row r="102" spans="1:7" x14ac:dyDescent="0.3">
      <c r="A102" s="34"/>
      <c r="B102" s="35"/>
      <c r="C102" s="35">
        <f t="shared" si="3"/>
        <v>0</v>
      </c>
      <c r="D102" s="35"/>
      <c r="E102" s="14"/>
      <c r="F102" s="14"/>
      <c r="G102" s="14"/>
    </row>
    <row r="103" spans="1:7" x14ac:dyDescent="0.3">
      <c r="A103" s="34"/>
      <c r="B103" s="35"/>
      <c r="C103" s="35">
        <f t="shared" si="3"/>
        <v>0</v>
      </c>
      <c r="D103" s="35"/>
      <c r="E103" s="14"/>
      <c r="F103" s="14"/>
      <c r="G103" s="14"/>
    </row>
    <row r="104" spans="1:7" x14ac:dyDescent="0.3">
      <c r="B104" s="84"/>
      <c r="C104" s="35">
        <f>B104*1.5</f>
        <v>0</v>
      </c>
      <c r="E104" s="57"/>
      <c r="F104" s="57"/>
      <c r="G104" s="57"/>
    </row>
    <row r="105" spans="1:7" x14ac:dyDescent="0.3">
      <c r="C105" s="35">
        <f>B105*1.6</f>
        <v>0</v>
      </c>
      <c r="E105" s="14"/>
      <c r="F105" s="14"/>
      <c r="G105" s="14"/>
    </row>
    <row r="106" spans="1:7" x14ac:dyDescent="0.3">
      <c r="A106" s="48"/>
      <c r="B106" s="49"/>
      <c r="C106" s="49">
        <f>B106*1.5</f>
        <v>0</v>
      </c>
      <c r="D106" s="49"/>
      <c r="E106" s="14"/>
      <c r="F106" s="14"/>
      <c r="G106" s="14"/>
    </row>
    <row r="107" spans="1:7" x14ac:dyDescent="0.3">
      <c r="A107" s="52"/>
      <c r="B107" s="53"/>
      <c r="C107" s="53">
        <f t="shared" ref="C107:C116" si="4">B107*1.6</f>
        <v>0</v>
      </c>
      <c r="D107" s="53"/>
      <c r="E107" s="14"/>
      <c r="F107" s="14"/>
      <c r="G107" s="14"/>
    </row>
    <row r="108" spans="1:7" x14ac:dyDescent="0.3">
      <c r="A108" s="48"/>
      <c r="B108" s="49"/>
      <c r="C108" s="49">
        <f t="shared" si="4"/>
        <v>0</v>
      </c>
      <c r="D108" s="49"/>
      <c r="E108" s="14"/>
      <c r="F108" s="14"/>
      <c r="G108" s="14"/>
    </row>
    <row r="109" spans="1:7" x14ac:dyDescent="0.3">
      <c r="A109" s="52"/>
      <c r="B109" s="53"/>
      <c r="C109" s="53">
        <f t="shared" si="4"/>
        <v>0</v>
      </c>
      <c r="D109" s="53"/>
      <c r="E109" s="14"/>
      <c r="F109" s="14"/>
      <c r="G109" s="14"/>
    </row>
    <row r="110" spans="1:7" x14ac:dyDescent="0.3">
      <c r="A110" s="48"/>
      <c r="B110" s="49"/>
      <c r="C110" s="49">
        <f t="shared" si="4"/>
        <v>0</v>
      </c>
      <c r="D110" s="49"/>
      <c r="E110" s="14"/>
      <c r="F110" s="14"/>
      <c r="G110" s="14"/>
    </row>
    <row r="111" spans="1:7" x14ac:dyDescent="0.3">
      <c r="A111" s="34"/>
      <c r="B111" s="35"/>
      <c r="C111" s="35">
        <f t="shared" si="4"/>
        <v>0</v>
      </c>
      <c r="D111" s="35"/>
      <c r="E111" s="57"/>
      <c r="F111" s="57"/>
      <c r="G111" s="57"/>
    </row>
    <row r="112" spans="1:7" x14ac:dyDescent="0.3">
      <c r="A112" s="50"/>
      <c r="B112" s="51"/>
      <c r="C112" s="35">
        <f t="shared" si="4"/>
        <v>0</v>
      </c>
      <c r="D112" s="51"/>
      <c r="E112" s="14"/>
      <c r="F112" s="14"/>
      <c r="G112" s="14"/>
    </row>
    <row r="113" spans="1:7" x14ac:dyDescent="0.3">
      <c r="A113" s="74"/>
      <c r="B113" s="75"/>
      <c r="C113" s="35">
        <f t="shared" si="4"/>
        <v>0</v>
      </c>
      <c r="D113" s="75"/>
      <c r="E113" s="14"/>
      <c r="F113" s="14"/>
      <c r="G113" s="14"/>
    </row>
    <row r="114" spans="1:7" x14ac:dyDescent="0.3">
      <c r="A114" s="74"/>
      <c r="B114" s="75"/>
      <c r="C114" s="35">
        <f t="shared" si="4"/>
        <v>0</v>
      </c>
      <c r="D114" s="75"/>
      <c r="E114" s="57"/>
      <c r="F114" s="57"/>
      <c r="G114" s="57"/>
    </row>
    <row r="115" spans="1:7" x14ac:dyDescent="0.3">
      <c r="B115" s="103"/>
      <c r="C115" s="35">
        <f t="shared" si="4"/>
        <v>0</v>
      </c>
      <c r="E115" s="14"/>
      <c r="F115" s="14"/>
      <c r="G115" s="14"/>
    </row>
    <row r="116" spans="1:7" x14ac:dyDescent="0.3">
      <c r="A116" s="34"/>
      <c r="B116" s="35"/>
      <c r="C116" s="35">
        <f t="shared" si="4"/>
        <v>0</v>
      </c>
      <c r="D116" s="35"/>
      <c r="E116" s="14"/>
      <c r="F116" s="14"/>
      <c r="G116" s="14"/>
    </row>
    <row r="117" spans="1:7" x14ac:dyDescent="0.3">
      <c r="C117" s="35">
        <f>B117*1.5</f>
        <v>0</v>
      </c>
      <c r="E117" s="14"/>
      <c r="F117" s="14"/>
      <c r="G117" s="14"/>
    </row>
    <row r="118" spans="1:7" x14ac:dyDescent="0.3">
      <c r="A118" s="34"/>
      <c r="B118" s="35"/>
      <c r="C118" s="35">
        <f>B118*1.4</f>
        <v>0</v>
      </c>
      <c r="D118" s="35"/>
      <c r="E118" s="14"/>
      <c r="F118" s="14"/>
      <c r="G118" s="14"/>
    </row>
    <row r="119" spans="1:7" x14ac:dyDescent="0.3">
      <c r="A119" s="34"/>
      <c r="B119" s="35"/>
      <c r="C119" s="35">
        <f>B119*1.5</f>
        <v>0</v>
      </c>
      <c r="D119" s="35"/>
      <c r="E119" s="14"/>
      <c r="F119" s="14"/>
      <c r="G119" s="14"/>
    </row>
    <row r="120" spans="1:7" x14ac:dyDescent="0.3">
      <c r="A120" s="34"/>
      <c r="B120" s="35"/>
      <c r="C120" s="35">
        <f>B120*1.4</f>
        <v>0</v>
      </c>
      <c r="D120" s="35"/>
      <c r="E120" s="14"/>
      <c r="F120" s="14"/>
      <c r="G120" s="14"/>
    </row>
    <row r="121" spans="1:7" x14ac:dyDescent="0.3">
      <c r="A121" s="34"/>
      <c r="B121" s="35"/>
      <c r="C121" s="35">
        <f>B121*1.4</f>
        <v>0</v>
      </c>
      <c r="D121" s="35"/>
      <c r="E121" s="14"/>
      <c r="F121" s="14"/>
      <c r="G121" s="14"/>
    </row>
    <row r="122" spans="1:7" x14ac:dyDescent="0.3">
      <c r="C122" s="35">
        <f>B122*1.5</f>
        <v>0</v>
      </c>
      <c r="E122" s="14"/>
      <c r="F122" s="14"/>
      <c r="G122" s="14"/>
    </row>
    <row r="123" spans="1:7" x14ac:dyDescent="0.3">
      <c r="A123" s="50"/>
      <c r="B123" s="51"/>
      <c r="C123" s="35">
        <f t="shared" ref="C123:C131" si="5">B123*1.6</f>
        <v>0</v>
      </c>
      <c r="D123" s="51"/>
      <c r="E123" s="57"/>
      <c r="F123" s="57"/>
      <c r="G123" s="57"/>
    </row>
    <row r="124" spans="1:7" x14ac:dyDescent="0.3">
      <c r="A124" s="50"/>
      <c r="B124" s="51"/>
      <c r="C124" s="35">
        <f t="shared" si="5"/>
        <v>0</v>
      </c>
      <c r="D124" s="51"/>
      <c r="E124" s="57"/>
      <c r="F124" s="57"/>
      <c r="G124" s="57"/>
    </row>
    <row r="125" spans="1:7" x14ac:dyDescent="0.3">
      <c r="A125" s="74"/>
      <c r="B125" s="75"/>
      <c r="C125" s="35">
        <f t="shared" si="5"/>
        <v>0</v>
      </c>
      <c r="D125" s="75"/>
      <c r="E125" s="57"/>
      <c r="F125" s="57"/>
      <c r="G125" s="57"/>
    </row>
    <row r="126" spans="1:7" x14ac:dyDescent="0.3">
      <c r="A126" s="48"/>
      <c r="C126" s="35">
        <f t="shared" si="5"/>
        <v>0</v>
      </c>
      <c r="E126" s="57"/>
      <c r="F126" s="57"/>
      <c r="G126" s="57"/>
    </row>
    <row r="127" spans="1:7" x14ac:dyDescent="0.3">
      <c r="A127" s="48"/>
      <c r="C127" s="35">
        <f t="shared" si="5"/>
        <v>0</v>
      </c>
      <c r="E127" s="14"/>
      <c r="F127" s="14"/>
      <c r="G127" s="14"/>
    </row>
    <row r="128" spans="1:7" x14ac:dyDescent="0.3">
      <c r="A128" s="48"/>
      <c r="C128" s="35">
        <f t="shared" si="5"/>
        <v>0</v>
      </c>
      <c r="E128" s="14"/>
      <c r="F128" s="14"/>
      <c r="G128" s="14"/>
    </row>
    <row r="129" spans="2:7" x14ac:dyDescent="0.3">
      <c r="B129" s="103"/>
      <c r="C129" s="35">
        <f t="shared" si="5"/>
        <v>0</v>
      </c>
      <c r="E129" s="14"/>
      <c r="F129" s="14"/>
      <c r="G129" s="14"/>
    </row>
    <row r="130" spans="2:7" x14ac:dyDescent="0.3">
      <c r="B130" s="75"/>
      <c r="C130" s="35">
        <f t="shared" si="5"/>
        <v>0</v>
      </c>
      <c r="E130" s="14"/>
      <c r="F130" s="14"/>
      <c r="G130" s="14"/>
    </row>
    <row r="131" spans="2:7" x14ac:dyDescent="0.3">
      <c r="C131" s="35">
        <f t="shared" si="5"/>
        <v>0</v>
      </c>
      <c r="E131" s="14"/>
      <c r="F131" s="14"/>
      <c r="G131" s="14"/>
    </row>
    <row r="132" spans="2:7" x14ac:dyDescent="0.3">
      <c r="C132" s="35">
        <f t="shared" ref="C132:C138" si="6">B132*1.5</f>
        <v>0</v>
      </c>
      <c r="E132" s="14"/>
      <c r="F132" s="14"/>
      <c r="G132" s="14"/>
    </row>
    <row r="133" spans="2:7" x14ac:dyDescent="0.3">
      <c r="C133" s="35">
        <f t="shared" si="6"/>
        <v>0</v>
      </c>
      <c r="E133" s="14"/>
      <c r="F133" s="14"/>
      <c r="G133" s="14"/>
    </row>
    <row r="134" spans="2:7" x14ac:dyDescent="0.3">
      <c r="C134" s="35">
        <f t="shared" si="6"/>
        <v>0</v>
      </c>
      <c r="E134" s="14"/>
      <c r="F134" s="14"/>
      <c r="G134" s="14"/>
    </row>
    <row r="135" spans="2:7" x14ac:dyDescent="0.3">
      <c r="C135" s="35">
        <f t="shared" si="6"/>
        <v>0</v>
      </c>
      <c r="E135" s="14"/>
      <c r="F135" s="14"/>
      <c r="G135" s="14"/>
    </row>
    <row r="136" spans="2:7" x14ac:dyDescent="0.3">
      <c r="C136" s="35">
        <f t="shared" si="6"/>
        <v>0</v>
      </c>
      <c r="E136" s="14"/>
      <c r="F136" s="14"/>
      <c r="G136" s="14"/>
    </row>
    <row r="137" spans="2:7" x14ac:dyDescent="0.3">
      <c r="C137" s="35">
        <f t="shared" si="6"/>
        <v>0</v>
      </c>
      <c r="E137" s="14"/>
      <c r="F137" s="14"/>
      <c r="G137" s="14"/>
    </row>
    <row r="138" spans="2:7" x14ac:dyDescent="0.3">
      <c r="C138" s="35">
        <f t="shared" si="6"/>
        <v>0</v>
      </c>
      <c r="E138" s="14"/>
      <c r="F138" s="14"/>
      <c r="G138" s="14"/>
    </row>
  </sheetData>
  <sortState xmlns:xlrd2="http://schemas.microsoft.com/office/spreadsheetml/2017/richdata2" ref="A2:D40">
    <sortCondition ref="A2:A40"/>
  </sortState>
  <phoneticPr fontId="5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00860-B93A-4465-8EDC-B1A33AD3C810}">
  <sheetPr codeName="Hoja14"/>
  <dimension ref="A1:F64"/>
  <sheetViews>
    <sheetView zoomScaleNormal="100" workbookViewId="0">
      <selection activeCell="G19" sqref="G19"/>
    </sheetView>
  </sheetViews>
  <sheetFormatPr baseColWidth="10" defaultRowHeight="14.4" x14ac:dyDescent="0.3"/>
  <cols>
    <col min="1" max="1" width="67" style="6" bestFit="1" customWidth="1"/>
    <col min="2" max="2" width="20.33203125" style="7" customWidth="1"/>
    <col min="3" max="3" width="20.6640625" style="7" customWidth="1"/>
    <col min="4" max="4" width="17" style="7" customWidth="1"/>
  </cols>
  <sheetData>
    <row r="1" spans="1:6" x14ac:dyDescent="0.3">
      <c r="A1" s="4" t="s">
        <v>11</v>
      </c>
      <c r="B1" s="5" t="s">
        <v>12</v>
      </c>
      <c r="C1" s="5" t="s">
        <v>1</v>
      </c>
      <c r="D1" s="5" t="s">
        <v>13</v>
      </c>
      <c r="E1" s="15" t="s">
        <v>29</v>
      </c>
      <c r="F1" s="15" t="s">
        <v>30</v>
      </c>
    </row>
    <row r="2" spans="1:6" x14ac:dyDescent="0.3">
      <c r="A2" s="66" t="s">
        <v>205</v>
      </c>
      <c r="B2" s="67">
        <v>1560</v>
      </c>
      <c r="C2" s="67">
        <f>B2*1.5</f>
        <v>2340</v>
      </c>
      <c r="D2" s="67">
        <v>2300</v>
      </c>
      <c r="E2" s="119"/>
      <c r="F2" s="14"/>
    </row>
    <row r="3" spans="1:6" x14ac:dyDescent="0.3">
      <c r="A3" s="6" t="s">
        <v>263</v>
      </c>
      <c r="B3" s="104">
        <v>1900</v>
      </c>
      <c r="C3" s="7">
        <f>B3*1.5</f>
        <v>2850</v>
      </c>
      <c r="D3" s="7">
        <v>2900</v>
      </c>
      <c r="E3" s="14"/>
      <c r="F3" s="14"/>
    </row>
    <row r="4" spans="1:6" x14ac:dyDescent="0.3">
      <c r="A4" s="66" t="s">
        <v>556</v>
      </c>
      <c r="B4" s="67">
        <v>2100</v>
      </c>
      <c r="C4" s="67">
        <f>B4*1.5</f>
        <v>3150</v>
      </c>
      <c r="D4" s="67">
        <v>2900</v>
      </c>
      <c r="E4" s="119"/>
      <c r="F4" s="119"/>
    </row>
    <row r="5" spans="1:6" x14ac:dyDescent="0.3">
      <c r="A5" s="34" t="s">
        <v>264</v>
      </c>
      <c r="B5" s="35">
        <v>1650</v>
      </c>
      <c r="C5" s="35">
        <f>B5*1.6</f>
        <v>2640</v>
      </c>
      <c r="D5" s="35">
        <v>2650</v>
      </c>
      <c r="E5" s="73"/>
      <c r="F5" s="73"/>
    </row>
    <row r="6" spans="1:6" x14ac:dyDescent="0.3">
      <c r="A6" s="66" t="s">
        <v>920</v>
      </c>
      <c r="B6" s="67">
        <v>2661</v>
      </c>
      <c r="C6" s="35">
        <f>B6*1.5</f>
        <v>3991.5</v>
      </c>
      <c r="D6" s="67">
        <v>3900</v>
      </c>
      <c r="E6" s="119"/>
      <c r="F6" s="119"/>
    </row>
    <row r="7" spans="1:6" x14ac:dyDescent="0.3">
      <c r="A7" s="66" t="s">
        <v>1355</v>
      </c>
      <c r="B7" s="67">
        <v>1900</v>
      </c>
      <c r="C7" s="67">
        <f>B7*1.6</f>
        <v>3040</v>
      </c>
      <c r="D7" s="67">
        <v>3000</v>
      </c>
      <c r="E7" s="119"/>
      <c r="F7" s="119"/>
    </row>
    <row r="8" spans="1:6" x14ac:dyDescent="0.3">
      <c r="A8" s="6" t="s">
        <v>552</v>
      </c>
      <c r="B8" s="104">
        <v>2400</v>
      </c>
      <c r="C8" s="7">
        <f>B8*1.6</f>
        <v>3840</v>
      </c>
      <c r="D8" s="7">
        <v>3800</v>
      </c>
      <c r="E8" s="14"/>
      <c r="F8" s="14"/>
    </row>
    <row r="9" spans="1:6" x14ac:dyDescent="0.3">
      <c r="A9" s="34" t="s">
        <v>160</v>
      </c>
      <c r="B9" s="35">
        <v>4113</v>
      </c>
      <c r="C9" s="35">
        <f>B9*1.6</f>
        <v>6580.8</v>
      </c>
      <c r="D9" s="35">
        <v>6450</v>
      </c>
      <c r="E9" s="73"/>
      <c r="F9" s="73"/>
    </row>
    <row r="10" spans="1:6" x14ac:dyDescent="0.3">
      <c r="A10" s="6" t="s">
        <v>1354</v>
      </c>
      <c r="B10" s="7">
        <v>2700</v>
      </c>
      <c r="C10" s="7">
        <f>B10*1.5</f>
        <v>4050</v>
      </c>
      <c r="D10" s="7">
        <v>4000</v>
      </c>
      <c r="E10" s="14"/>
      <c r="F10" s="14"/>
    </row>
    <row r="11" spans="1:6" x14ac:dyDescent="0.3">
      <c r="A11" s="66" t="s">
        <v>265</v>
      </c>
      <c r="B11" s="67">
        <v>4900</v>
      </c>
      <c r="C11" s="67">
        <f>B11*1.5</f>
        <v>7350</v>
      </c>
      <c r="D11" s="67">
        <v>6500</v>
      </c>
      <c r="E11" s="119"/>
      <c r="F11" s="119"/>
    </row>
    <row r="12" spans="1:6" x14ac:dyDescent="0.3">
      <c r="A12" s="34" t="s">
        <v>508</v>
      </c>
      <c r="B12" s="35">
        <v>3500</v>
      </c>
      <c r="C12" s="35">
        <f>B12*1.5</f>
        <v>5250</v>
      </c>
      <c r="D12" s="35">
        <v>2200</v>
      </c>
      <c r="E12" s="73"/>
      <c r="F12" s="73"/>
    </row>
    <row r="13" spans="1:6" x14ac:dyDescent="0.3">
      <c r="A13" s="66" t="s">
        <v>122</v>
      </c>
      <c r="B13" s="67">
        <v>1300</v>
      </c>
      <c r="C13" s="67">
        <f>B13*1.5</f>
        <v>1950</v>
      </c>
      <c r="D13" s="67">
        <v>1950</v>
      </c>
      <c r="E13" s="119"/>
      <c r="F13" s="119"/>
    </row>
    <row r="14" spans="1:6" x14ac:dyDescent="0.3">
      <c r="A14" s="54" t="s">
        <v>1360</v>
      </c>
      <c r="B14" s="55">
        <v>1330</v>
      </c>
      <c r="C14" s="55">
        <f>B14*1.6</f>
        <v>2128</v>
      </c>
      <c r="D14" s="55">
        <v>2100</v>
      </c>
      <c r="E14" s="93"/>
      <c r="F14" s="93"/>
    </row>
    <row r="15" spans="1:6" x14ac:dyDescent="0.3">
      <c r="A15" s="34" t="s">
        <v>1429</v>
      </c>
      <c r="B15" s="35">
        <v>2600</v>
      </c>
      <c r="C15" s="35">
        <f>B15*1.5</f>
        <v>3900</v>
      </c>
      <c r="D15" s="35">
        <v>3600</v>
      </c>
      <c r="E15" s="73"/>
      <c r="F15" s="73"/>
    </row>
    <row r="16" spans="1:6" x14ac:dyDescent="0.3">
      <c r="A16" s="6" t="s">
        <v>1356</v>
      </c>
      <c r="B16" s="56">
        <v>2745</v>
      </c>
      <c r="C16" s="7">
        <f>B16*1.5</f>
        <v>4117.5</v>
      </c>
      <c r="D16" s="7">
        <v>3400</v>
      </c>
      <c r="E16" s="14"/>
      <c r="F16" s="14"/>
    </row>
    <row r="17" spans="1:6" x14ac:dyDescent="0.3">
      <c r="A17" s="6" t="s">
        <v>333</v>
      </c>
      <c r="B17" s="7">
        <v>1950</v>
      </c>
      <c r="C17" s="7">
        <f>B17*1.3</f>
        <v>2535</v>
      </c>
      <c r="D17" s="7">
        <v>2600</v>
      </c>
      <c r="E17" s="14"/>
      <c r="F17" s="14"/>
    </row>
    <row r="18" spans="1:6" x14ac:dyDescent="0.3">
      <c r="A18" s="54" t="s">
        <v>509</v>
      </c>
      <c r="B18" s="55">
        <v>3500</v>
      </c>
      <c r="C18" s="55">
        <f>B18*1.5</f>
        <v>5250</v>
      </c>
      <c r="D18" s="55">
        <v>5250</v>
      </c>
      <c r="E18" s="93"/>
      <c r="F18" s="93"/>
    </row>
    <row r="19" spans="1:6" x14ac:dyDescent="0.3">
      <c r="A19" s="6" t="s">
        <v>144</v>
      </c>
      <c r="B19" s="104">
        <v>2500</v>
      </c>
      <c r="C19" s="7">
        <f>B19*1.5</f>
        <v>3750</v>
      </c>
      <c r="D19" s="7">
        <v>3750</v>
      </c>
      <c r="E19" s="14"/>
      <c r="F19" s="14"/>
    </row>
    <row r="20" spans="1:6" x14ac:dyDescent="0.3">
      <c r="A20" s="6" t="s">
        <v>95</v>
      </c>
      <c r="B20" s="7">
        <v>1420</v>
      </c>
      <c r="C20" s="7">
        <f>B20*1.5</f>
        <v>2130</v>
      </c>
      <c r="D20" s="7">
        <v>2200</v>
      </c>
      <c r="E20" s="14"/>
      <c r="F20" s="14"/>
    </row>
    <row r="21" spans="1:6" x14ac:dyDescent="0.3">
      <c r="A21" s="34" t="s">
        <v>205</v>
      </c>
      <c r="B21" s="35">
        <v>1550</v>
      </c>
      <c r="C21" s="35">
        <f>B21*1.5</f>
        <v>2325</v>
      </c>
      <c r="D21" s="35">
        <v>2300</v>
      </c>
      <c r="E21" s="73"/>
      <c r="F21" s="73"/>
    </row>
    <row r="22" spans="1:6" x14ac:dyDescent="0.3">
      <c r="A22" s="6" t="s">
        <v>1042</v>
      </c>
      <c r="B22" s="104">
        <v>3560</v>
      </c>
      <c r="C22" s="7">
        <f>B22*1.6</f>
        <v>5696</v>
      </c>
      <c r="D22" s="7">
        <v>5700</v>
      </c>
      <c r="E22" s="14"/>
      <c r="F22" s="14"/>
    </row>
    <row r="23" spans="1:6" x14ac:dyDescent="0.3">
      <c r="A23" s="6" t="s">
        <v>1384</v>
      </c>
      <c r="B23" s="104">
        <v>5300</v>
      </c>
      <c r="C23" s="7">
        <f>B23*1.6</f>
        <v>8480</v>
      </c>
      <c r="D23" s="7">
        <v>7900</v>
      </c>
      <c r="E23" s="14"/>
      <c r="F23" s="14"/>
    </row>
    <row r="24" spans="1:6" x14ac:dyDescent="0.3">
      <c r="A24" s="6" t="s">
        <v>1083</v>
      </c>
      <c r="B24" s="7">
        <v>4196</v>
      </c>
      <c r="C24" s="7">
        <f>B24*1.4</f>
        <v>5874.4</v>
      </c>
      <c r="D24" s="7">
        <v>5800</v>
      </c>
      <c r="E24" s="14"/>
      <c r="F24" s="14"/>
    </row>
    <row r="25" spans="1:6" x14ac:dyDescent="0.3">
      <c r="A25" s="6" t="s">
        <v>175</v>
      </c>
      <c r="B25" s="7">
        <v>1850</v>
      </c>
      <c r="C25" s="7">
        <f>B25*1.6</f>
        <v>2960</v>
      </c>
      <c r="D25" s="7">
        <v>3000</v>
      </c>
      <c r="E25" s="14"/>
      <c r="F25" s="14"/>
    </row>
    <row r="26" spans="1:6" x14ac:dyDescent="0.3">
      <c r="A26" s="6" t="s">
        <v>161</v>
      </c>
      <c r="B26" s="104">
        <v>1331</v>
      </c>
      <c r="C26" s="7">
        <f>B26*1.5</f>
        <v>1996.5</v>
      </c>
      <c r="D26" s="7">
        <v>2000</v>
      </c>
      <c r="E26" s="14"/>
      <c r="F26" s="14"/>
    </row>
    <row r="27" spans="1:6" x14ac:dyDescent="0.3">
      <c r="A27" s="6" t="s">
        <v>1084</v>
      </c>
      <c r="B27" s="7">
        <v>1722</v>
      </c>
      <c r="C27" s="7">
        <f>B27*1.4</f>
        <v>2410.7999999999997</v>
      </c>
      <c r="D27" s="7">
        <v>2500</v>
      </c>
      <c r="E27" s="14"/>
      <c r="F27" s="14"/>
    </row>
    <row r="28" spans="1:6" x14ac:dyDescent="0.3">
      <c r="A28" s="6" t="s">
        <v>1357</v>
      </c>
      <c r="B28" s="7">
        <v>1580</v>
      </c>
      <c r="C28" s="7">
        <f>B28*1.4</f>
        <v>2212</v>
      </c>
      <c r="D28" s="7">
        <v>2300</v>
      </c>
      <c r="E28" s="14"/>
      <c r="F28" s="14"/>
    </row>
    <row r="29" spans="1:6" x14ac:dyDescent="0.3">
      <c r="A29" s="66" t="s">
        <v>1361</v>
      </c>
      <c r="B29" s="67">
        <v>1560</v>
      </c>
      <c r="C29" s="67">
        <f>B29*1.5</f>
        <v>2340</v>
      </c>
      <c r="D29" s="67">
        <v>2300</v>
      </c>
      <c r="E29" s="119"/>
      <c r="F29" s="119"/>
    </row>
    <row r="30" spans="1:6" x14ac:dyDescent="0.3">
      <c r="A30" s="6" t="s">
        <v>471</v>
      </c>
      <c r="B30" s="7">
        <v>650</v>
      </c>
      <c r="C30" s="7">
        <f>B30*1.5</f>
        <v>975</v>
      </c>
      <c r="D30" s="7">
        <v>1000</v>
      </c>
      <c r="E30" s="14"/>
      <c r="F30" s="14"/>
    </row>
    <row r="31" spans="1:6" x14ac:dyDescent="0.3">
      <c r="A31" s="6" t="s">
        <v>1358</v>
      </c>
      <c r="B31" s="104">
        <v>1900</v>
      </c>
      <c r="C31" s="7">
        <f>B31*1.5</f>
        <v>2850</v>
      </c>
      <c r="D31" s="7">
        <v>2800</v>
      </c>
      <c r="E31" s="14"/>
      <c r="F31" s="14"/>
    </row>
    <row r="32" spans="1:6" x14ac:dyDescent="0.3">
      <c r="A32" s="34" t="s">
        <v>1359</v>
      </c>
      <c r="B32" s="35">
        <v>1567</v>
      </c>
      <c r="C32" s="35">
        <f>B32*1.6</f>
        <v>2507.2000000000003</v>
      </c>
      <c r="D32" s="35">
        <v>2500</v>
      </c>
      <c r="E32" s="73"/>
      <c r="F32" s="73"/>
    </row>
    <row r="33" spans="1:6" x14ac:dyDescent="0.3">
      <c r="A33" s="66"/>
      <c r="B33" s="67"/>
      <c r="C33" s="67">
        <f>B33*1.5</f>
        <v>0</v>
      </c>
      <c r="D33" s="67"/>
      <c r="E33" s="119"/>
      <c r="F33" s="119"/>
    </row>
    <row r="34" spans="1:6" x14ac:dyDescent="0.3">
      <c r="B34" s="104"/>
      <c r="C34" s="7">
        <f>B34*1.6</f>
        <v>0</v>
      </c>
      <c r="E34" s="14"/>
      <c r="F34" s="14"/>
    </row>
    <row r="35" spans="1:6" x14ac:dyDescent="0.3">
      <c r="B35" s="104"/>
      <c r="C35" s="7">
        <f>B35*1.6</f>
        <v>0</v>
      </c>
      <c r="E35" s="14"/>
      <c r="F35" s="14"/>
    </row>
    <row r="36" spans="1:6" x14ac:dyDescent="0.3">
      <c r="A36" s="48"/>
      <c r="B36" s="49"/>
      <c r="C36" s="49">
        <f>B36*1.6</f>
        <v>0</v>
      </c>
      <c r="D36" s="49"/>
      <c r="E36" s="105"/>
      <c r="F36" s="105"/>
    </row>
    <row r="37" spans="1:6" x14ac:dyDescent="0.3">
      <c r="A37" s="48"/>
      <c r="B37" s="49"/>
      <c r="C37" s="49">
        <f t="shared" ref="C37:C60" si="0">B37*1.5</f>
        <v>0</v>
      </c>
      <c r="D37" s="49"/>
      <c r="E37" s="105"/>
      <c r="F37" s="105"/>
    </row>
    <row r="38" spans="1:6" x14ac:dyDescent="0.3">
      <c r="A38" s="54"/>
      <c r="B38" s="55"/>
      <c r="C38" s="55">
        <f t="shared" si="0"/>
        <v>0</v>
      </c>
      <c r="D38" s="55"/>
      <c r="E38" s="93"/>
      <c r="F38" s="93"/>
    </row>
    <row r="39" spans="1:6" x14ac:dyDescent="0.3">
      <c r="A39" s="54"/>
      <c r="B39" s="55"/>
      <c r="C39" s="55">
        <f t="shared" si="0"/>
        <v>0</v>
      </c>
      <c r="D39" s="55"/>
      <c r="E39" s="93"/>
      <c r="F39" s="93"/>
    </row>
    <row r="40" spans="1:6" x14ac:dyDescent="0.3">
      <c r="B40" s="104"/>
      <c r="C40" s="7">
        <f t="shared" si="0"/>
        <v>0</v>
      </c>
      <c r="E40" s="14"/>
      <c r="F40" s="14"/>
    </row>
    <row r="41" spans="1:6" x14ac:dyDescent="0.3">
      <c r="C41" s="7">
        <f t="shared" si="0"/>
        <v>0</v>
      </c>
      <c r="E41" s="14"/>
      <c r="F41" s="14"/>
    </row>
    <row r="42" spans="1:6" x14ac:dyDescent="0.3">
      <c r="B42" s="104"/>
      <c r="C42" s="7">
        <f t="shared" si="0"/>
        <v>0</v>
      </c>
      <c r="E42" s="14"/>
      <c r="F42" s="14"/>
    </row>
    <row r="43" spans="1:6" x14ac:dyDescent="0.3">
      <c r="B43" s="104"/>
      <c r="C43" s="7">
        <f t="shared" si="0"/>
        <v>0</v>
      </c>
      <c r="E43" s="14"/>
      <c r="F43" s="14"/>
    </row>
    <row r="44" spans="1:6" x14ac:dyDescent="0.3">
      <c r="B44" s="104"/>
      <c r="C44" s="7">
        <f t="shared" si="0"/>
        <v>0</v>
      </c>
      <c r="E44" s="14"/>
      <c r="F44" s="14"/>
    </row>
    <row r="45" spans="1:6" x14ac:dyDescent="0.3">
      <c r="B45" s="104"/>
      <c r="C45" s="7">
        <f t="shared" si="0"/>
        <v>0</v>
      </c>
      <c r="E45" s="14"/>
      <c r="F45" s="14"/>
    </row>
    <row r="46" spans="1:6" x14ac:dyDescent="0.3">
      <c r="B46" s="104"/>
      <c r="C46" s="7">
        <f t="shared" si="0"/>
        <v>0</v>
      </c>
      <c r="E46" s="14"/>
      <c r="F46" s="14"/>
    </row>
    <row r="47" spans="1:6" x14ac:dyDescent="0.3">
      <c r="B47" s="104"/>
      <c r="C47" s="7">
        <f t="shared" si="0"/>
        <v>0</v>
      </c>
      <c r="E47" s="14"/>
      <c r="F47" s="14"/>
    </row>
    <row r="48" spans="1:6" x14ac:dyDescent="0.3">
      <c r="C48" s="7">
        <f t="shared" si="0"/>
        <v>0</v>
      </c>
      <c r="E48" s="14"/>
      <c r="F48" s="14"/>
    </row>
    <row r="49" spans="1:6" x14ac:dyDescent="0.3">
      <c r="B49" s="104"/>
      <c r="C49" s="7">
        <f t="shared" si="0"/>
        <v>0</v>
      </c>
      <c r="E49" s="14"/>
      <c r="F49" s="14"/>
    </row>
    <row r="50" spans="1:6" x14ac:dyDescent="0.3">
      <c r="A50" s="34"/>
      <c r="B50" s="104"/>
      <c r="C50" s="7">
        <f t="shared" si="0"/>
        <v>0</v>
      </c>
      <c r="E50" s="14"/>
      <c r="F50" s="14"/>
    </row>
    <row r="51" spans="1:6" x14ac:dyDescent="0.3">
      <c r="B51" s="104"/>
      <c r="C51" s="7">
        <f t="shared" si="0"/>
        <v>0</v>
      </c>
      <c r="E51" s="14"/>
      <c r="F51" s="14"/>
    </row>
    <row r="52" spans="1:6" x14ac:dyDescent="0.3">
      <c r="B52" s="104"/>
      <c r="C52" s="7">
        <f t="shared" si="0"/>
        <v>0</v>
      </c>
      <c r="E52" s="14"/>
      <c r="F52" s="14"/>
    </row>
    <row r="53" spans="1:6" x14ac:dyDescent="0.3">
      <c r="C53" s="7">
        <f t="shared" si="0"/>
        <v>0</v>
      </c>
      <c r="E53" s="14"/>
      <c r="F53" s="14"/>
    </row>
    <row r="54" spans="1:6" x14ac:dyDescent="0.3">
      <c r="C54" s="7">
        <f t="shared" si="0"/>
        <v>0</v>
      </c>
      <c r="E54" s="14"/>
      <c r="F54" s="14"/>
    </row>
    <row r="55" spans="1:6" x14ac:dyDescent="0.3">
      <c r="C55" s="7">
        <f t="shared" si="0"/>
        <v>0</v>
      </c>
      <c r="E55" s="14"/>
      <c r="F55" s="14"/>
    </row>
    <row r="56" spans="1:6" x14ac:dyDescent="0.3">
      <c r="C56" s="7">
        <f t="shared" si="0"/>
        <v>0</v>
      </c>
      <c r="E56" s="14"/>
      <c r="F56" s="14"/>
    </row>
    <row r="57" spans="1:6" x14ac:dyDescent="0.3">
      <c r="C57" s="7">
        <f t="shared" si="0"/>
        <v>0</v>
      </c>
      <c r="E57" s="14"/>
      <c r="F57" s="14"/>
    </row>
    <row r="58" spans="1:6" x14ac:dyDescent="0.3">
      <c r="C58" s="7">
        <f t="shared" si="0"/>
        <v>0</v>
      </c>
      <c r="E58" s="14"/>
      <c r="F58" s="14"/>
    </row>
    <row r="59" spans="1:6" x14ac:dyDescent="0.3">
      <c r="C59" s="7">
        <f t="shared" si="0"/>
        <v>0</v>
      </c>
      <c r="E59" s="14"/>
      <c r="F59" s="14"/>
    </row>
    <row r="60" spans="1:6" x14ac:dyDescent="0.3">
      <c r="C60" s="7">
        <f t="shared" si="0"/>
        <v>0</v>
      </c>
      <c r="E60" s="14"/>
      <c r="F60" s="14"/>
    </row>
    <row r="61" spans="1:6" x14ac:dyDescent="0.3">
      <c r="E61" s="14"/>
      <c r="F61" s="14"/>
    </row>
    <row r="62" spans="1:6" x14ac:dyDescent="0.3">
      <c r="E62" s="14"/>
      <c r="F62" s="14"/>
    </row>
    <row r="63" spans="1:6" x14ac:dyDescent="0.3">
      <c r="E63" s="14"/>
      <c r="F63" s="14"/>
    </row>
    <row r="64" spans="1:6" x14ac:dyDescent="0.3">
      <c r="E64" s="14"/>
      <c r="F64" s="14"/>
    </row>
  </sheetData>
  <sortState xmlns:xlrd2="http://schemas.microsoft.com/office/spreadsheetml/2017/richdata2" ref="A2:D25">
    <sortCondition ref="A2:A25"/>
  </sortState>
  <phoneticPr fontId="5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CCC02-46C8-4372-A288-2F66A5701BB7}">
  <sheetPr codeName="Hoja15"/>
  <dimension ref="A1:E78"/>
  <sheetViews>
    <sheetView workbookViewId="0">
      <selection activeCell="A2" sqref="A2:A77 D2:D77"/>
    </sheetView>
  </sheetViews>
  <sheetFormatPr baseColWidth="10" defaultRowHeight="14.4" x14ac:dyDescent="0.3"/>
  <cols>
    <col min="1" max="1" width="63.6640625" style="6" customWidth="1"/>
    <col min="2" max="2" width="20.33203125" style="7" customWidth="1"/>
    <col min="3" max="3" width="20.6640625" style="7" customWidth="1"/>
    <col min="4" max="4" width="17" style="7" customWidth="1"/>
  </cols>
  <sheetData>
    <row r="1" spans="1:5" x14ac:dyDescent="0.3">
      <c r="A1" s="4" t="s">
        <v>0</v>
      </c>
      <c r="B1" s="5" t="s">
        <v>12</v>
      </c>
      <c r="C1" s="5" t="s">
        <v>1</v>
      </c>
      <c r="D1" s="5" t="s">
        <v>13</v>
      </c>
      <c r="E1" s="15" t="s">
        <v>29</v>
      </c>
    </row>
    <row r="2" spans="1:5" x14ac:dyDescent="0.3">
      <c r="A2" s="6" t="s">
        <v>1349</v>
      </c>
      <c r="B2" s="7">
        <v>2900</v>
      </c>
      <c r="C2" s="7">
        <f>B2*1.5</f>
        <v>4350</v>
      </c>
      <c r="D2" s="7">
        <v>3900</v>
      </c>
      <c r="E2" s="14"/>
    </row>
    <row r="3" spans="1:5" x14ac:dyDescent="0.3">
      <c r="A3" s="6" t="s">
        <v>1054</v>
      </c>
      <c r="B3" s="7">
        <v>1300</v>
      </c>
      <c r="C3" s="7">
        <f>B3*1.5</f>
        <v>1950</v>
      </c>
      <c r="D3" s="7">
        <v>1900</v>
      </c>
      <c r="E3" s="14"/>
    </row>
    <row r="4" spans="1:5" x14ac:dyDescent="0.3">
      <c r="A4" s="6" t="s">
        <v>628</v>
      </c>
      <c r="B4" s="7">
        <v>2100</v>
      </c>
      <c r="C4" s="7">
        <f>B4*1.5</f>
        <v>3150</v>
      </c>
      <c r="D4" s="7">
        <v>3100</v>
      </c>
      <c r="E4" s="14"/>
    </row>
    <row r="5" spans="1:5" x14ac:dyDescent="0.3">
      <c r="A5" s="6" t="s">
        <v>163</v>
      </c>
      <c r="B5" s="7">
        <v>1450</v>
      </c>
      <c r="C5" s="7">
        <f>B5*1.5</f>
        <v>2175</v>
      </c>
      <c r="D5" s="7">
        <v>2150</v>
      </c>
      <c r="E5" s="14"/>
    </row>
    <row r="6" spans="1:5" x14ac:dyDescent="0.3">
      <c r="A6" s="6" t="s">
        <v>1064</v>
      </c>
      <c r="B6" s="7">
        <v>2433</v>
      </c>
      <c r="C6" s="7">
        <f>B6*1.5</f>
        <v>3649.5</v>
      </c>
      <c r="D6" s="7">
        <v>3800</v>
      </c>
      <c r="E6" s="14"/>
    </row>
    <row r="7" spans="1:5" x14ac:dyDescent="0.3">
      <c r="A7" s="71" t="s">
        <v>149</v>
      </c>
      <c r="B7" s="72">
        <v>4000</v>
      </c>
      <c r="C7" s="72">
        <f>B7*1.3</f>
        <v>5200</v>
      </c>
      <c r="D7" s="72">
        <v>5600</v>
      </c>
      <c r="E7" s="14"/>
    </row>
    <row r="8" spans="1:5" x14ac:dyDescent="0.3">
      <c r="A8" s="6" t="s">
        <v>686</v>
      </c>
      <c r="B8" s="7">
        <v>1600</v>
      </c>
      <c r="C8" s="7">
        <f t="shared" ref="C8:C14" si="0">B8*1.6</f>
        <v>2560</v>
      </c>
      <c r="D8" s="7">
        <v>2600</v>
      </c>
      <c r="E8" s="14"/>
    </row>
    <row r="9" spans="1:5" x14ac:dyDescent="0.3">
      <c r="A9" s="6" t="s">
        <v>1013</v>
      </c>
      <c r="B9" s="7">
        <v>2400</v>
      </c>
      <c r="C9" s="7">
        <f t="shared" si="0"/>
        <v>3840</v>
      </c>
      <c r="D9" s="7">
        <v>3900</v>
      </c>
      <c r="E9" s="14"/>
    </row>
    <row r="10" spans="1:5" x14ac:dyDescent="0.3">
      <c r="A10" s="6" t="s">
        <v>473</v>
      </c>
      <c r="B10" s="7">
        <v>1260</v>
      </c>
      <c r="C10" s="7">
        <f t="shared" si="0"/>
        <v>2016</v>
      </c>
      <c r="D10" s="7">
        <v>2200</v>
      </c>
      <c r="E10" s="14"/>
    </row>
    <row r="11" spans="1:5" x14ac:dyDescent="0.3">
      <c r="A11" s="6" t="s">
        <v>331</v>
      </c>
      <c r="B11" s="7">
        <v>2600</v>
      </c>
      <c r="C11" s="7">
        <f t="shared" si="0"/>
        <v>4160</v>
      </c>
      <c r="D11" s="7">
        <v>3400</v>
      </c>
      <c r="E11" s="14"/>
    </row>
    <row r="12" spans="1:5" x14ac:dyDescent="0.3">
      <c r="A12" s="6" t="s">
        <v>332</v>
      </c>
      <c r="B12" s="7">
        <v>1650</v>
      </c>
      <c r="C12" s="7">
        <f t="shared" si="0"/>
        <v>2640</v>
      </c>
      <c r="D12" s="7">
        <v>2300</v>
      </c>
      <c r="E12" s="14"/>
    </row>
    <row r="13" spans="1:5" x14ac:dyDescent="0.3">
      <c r="A13" s="6" t="s">
        <v>903</v>
      </c>
      <c r="B13" s="7">
        <v>1550</v>
      </c>
      <c r="C13" s="7">
        <f t="shared" si="0"/>
        <v>2480</v>
      </c>
      <c r="D13" s="7">
        <v>2400</v>
      </c>
      <c r="E13" s="14"/>
    </row>
    <row r="14" spans="1:5" x14ac:dyDescent="0.3">
      <c r="A14" s="6" t="s">
        <v>1350</v>
      </c>
      <c r="B14" s="7">
        <v>2062</v>
      </c>
      <c r="C14" s="7">
        <f t="shared" si="0"/>
        <v>3299.2000000000003</v>
      </c>
      <c r="D14" s="7">
        <v>3300</v>
      </c>
      <c r="E14" s="14"/>
    </row>
    <row r="15" spans="1:5" x14ac:dyDescent="0.3">
      <c r="A15" s="71" t="s">
        <v>660</v>
      </c>
      <c r="B15" s="72">
        <v>2800</v>
      </c>
      <c r="C15" s="72">
        <f>B15*1.5</f>
        <v>4200</v>
      </c>
      <c r="D15" s="72">
        <v>4200</v>
      </c>
      <c r="E15" s="14"/>
    </row>
    <row r="16" spans="1:5" x14ac:dyDescent="0.3">
      <c r="A16" s="6" t="s">
        <v>341</v>
      </c>
      <c r="B16" s="7">
        <v>3800</v>
      </c>
      <c r="C16" s="7">
        <f>B16*1.5</f>
        <v>5700</v>
      </c>
      <c r="D16" s="7">
        <v>5600</v>
      </c>
      <c r="E16" s="14"/>
    </row>
    <row r="17" spans="1:5" x14ac:dyDescent="0.3">
      <c r="A17" s="34" t="s">
        <v>589</v>
      </c>
      <c r="B17" s="35">
        <v>3350</v>
      </c>
      <c r="C17" s="35">
        <f>B17*1.6</f>
        <v>5360</v>
      </c>
      <c r="D17" s="35">
        <v>5500</v>
      </c>
      <c r="E17" s="14"/>
    </row>
    <row r="18" spans="1:5" x14ac:dyDescent="0.3">
      <c r="A18" s="87" t="s">
        <v>1318</v>
      </c>
      <c r="B18" s="88">
        <v>2650</v>
      </c>
      <c r="C18" s="88">
        <f t="shared" ref="C18:C27" si="1">B18*1.5</f>
        <v>3975</v>
      </c>
      <c r="D18" s="88">
        <v>3900</v>
      </c>
      <c r="E18" s="89"/>
    </row>
    <row r="19" spans="1:5" x14ac:dyDescent="0.3">
      <c r="A19" s="87" t="s">
        <v>1319</v>
      </c>
      <c r="B19" s="88">
        <v>2522</v>
      </c>
      <c r="C19" s="88">
        <f t="shared" si="1"/>
        <v>3783</v>
      </c>
      <c r="D19" s="88">
        <v>3900</v>
      </c>
      <c r="E19" s="89"/>
    </row>
    <row r="20" spans="1:5" x14ac:dyDescent="0.3">
      <c r="A20" s="6" t="s">
        <v>630</v>
      </c>
      <c r="B20" s="7">
        <v>2370</v>
      </c>
      <c r="C20" s="7">
        <f t="shared" si="1"/>
        <v>3555</v>
      </c>
      <c r="D20" s="7">
        <v>3900</v>
      </c>
      <c r="E20" s="14"/>
    </row>
    <row r="21" spans="1:5" x14ac:dyDescent="0.3">
      <c r="A21" s="6" t="s">
        <v>487</v>
      </c>
      <c r="B21" s="7">
        <v>2600</v>
      </c>
      <c r="C21" s="7">
        <f t="shared" si="1"/>
        <v>3900</v>
      </c>
      <c r="D21" s="7">
        <v>3900</v>
      </c>
      <c r="E21" s="14"/>
    </row>
    <row r="22" spans="1:5" x14ac:dyDescent="0.3">
      <c r="A22" s="6" t="s">
        <v>480</v>
      </c>
      <c r="B22" s="7">
        <v>4800</v>
      </c>
      <c r="C22" s="7">
        <f t="shared" si="1"/>
        <v>7200</v>
      </c>
      <c r="D22" s="7">
        <v>6900</v>
      </c>
      <c r="E22" s="14"/>
    </row>
    <row r="23" spans="1:5" x14ac:dyDescent="0.3">
      <c r="A23" s="6" t="s">
        <v>479</v>
      </c>
      <c r="B23" s="7">
        <v>4800</v>
      </c>
      <c r="C23" s="7">
        <f t="shared" si="1"/>
        <v>7200</v>
      </c>
      <c r="D23" s="7">
        <v>6900</v>
      </c>
      <c r="E23" s="14"/>
    </row>
    <row r="24" spans="1:5" x14ac:dyDescent="0.3">
      <c r="A24" s="6" t="s">
        <v>486</v>
      </c>
      <c r="B24" s="7">
        <v>5060</v>
      </c>
      <c r="C24" s="7">
        <f t="shared" si="1"/>
        <v>7590</v>
      </c>
      <c r="D24" s="7">
        <v>8900</v>
      </c>
      <c r="E24" s="14"/>
    </row>
    <row r="25" spans="1:5" x14ac:dyDescent="0.3">
      <c r="A25" s="6" t="s">
        <v>627</v>
      </c>
      <c r="B25" s="7">
        <v>5500</v>
      </c>
      <c r="C25" s="7">
        <f t="shared" si="1"/>
        <v>8250</v>
      </c>
      <c r="D25" s="7">
        <v>8900</v>
      </c>
      <c r="E25" s="14"/>
    </row>
    <row r="26" spans="1:5" x14ac:dyDescent="0.3">
      <c r="A26" s="6" t="s">
        <v>485</v>
      </c>
      <c r="B26" s="7">
        <v>5060</v>
      </c>
      <c r="C26" s="7">
        <f t="shared" si="1"/>
        <v>7590</v>
      </c>
      <c r="D26" s="7">
        <v>8900</v>
      </c>
      <c r="E26" s="14"/>
    </row>
    <row r="27" spans="1:5" x14ac:dyDescent="0.3">
      <c r="A27" s="66" t="s">
        <v>100</v>
      </c>
      <c r="B27" s="67">
        <v>2600</v>
      </c>
      <c r="C27" s="67">
        <f t="shared" si="1"/>
        <v>3900</v>
      </c>
      <c r="D27" s="67">
        <v>6900</v>
      </c>
      <c r="E27" s="14"/>
    </row>
    <row r="28" spans="1:5" x14ac:dyDescent="0.3">
      <c r="A28" s="64" t="s">
        <v>249</v>
      </c>
      <c r="B28" s="65">
        <v>5900</v>
      </c>
      <c r="C28" s="65">
        <f>B28*1.6</f>
        <v>9440</v>
      </c>
      <c r="D28" s="65">
        <v>9400</v>
      </c>
      <c r="E28" s="14"/>
    </row>
    <row r="29" spans="1:5" x14ac:dyDescent="0.3">
      <c r="A29" s="66" t="s">
        <v>250</v>
      </c>
      <c r="B29" s="67">
        <v>2600</v>
      </c>
      <c r="C29" s="67">
        <f>B29*1.6</f>
        <v>4160</v>
      </c>
      <c r="D29" s="67">
        <v>5600</v>
      </c>
      <c r="E29" s="14"/>
    </row>
    <row r="30" spans="1:5" x14ac:dyDescent="0.3">
      <c r="A30" s="64" t="s">
        <v>251</v>
      </c>
      <c r="B30" s="65">
        <v>2100</v>
      </c>
      <c r="C30" s="65">
        <f>B30*1.5</f>
        <v>3150</v>
      </c>
      <c r="D30" s="65">
        <v>5600</v>
      </c>
      <c r="E30" s="14"/>
    </row>
    <row r="31" spans="1:5" x14ac:dyDescent="0.3">
      <c r="A31" s="66" t="s">
        <v>248</v>
      </c>
      <c r="B31" s="67">
        <v>3400</v>
      </c>
      <c r="C31" s="67">
        <f>B31*1.6</f>
        <v>5440</v>
      </c>
      <c r="D31" s="67">
        <v>5600</v>
      </c>
      <c r="E31" s="14"/>
    </row>
    <row r="32" spans="1:5" x14ac:dyDescent="0.3">
      <c r="A32" s="6" t="s">
        <v>99</v>
      </c>
      <c r="B32" s="7">
        <v>2400</v>
      </c>
      <c r="C32" s="7">
        <f>B32*1.5</f>
        <v>3600</v>
      </c>
      <c r="D32" s="7">
        <v>6500</v>
      </c>
      <c r="E32" s="14"/>
    </row>
    <row r="33" spans="1:5" x14ac:dyDescent="0.3">
      <c r="A33" s="6" t="s">
        <v>513</v>
      </c>
      <c r="B33" s="7">
        <v>4000</v>
      </c>
      <c r="C33" s="7">
        <f>B33*1.5</f>
        <v>6000</v>
      </c>
      <c r="D33" s="7">
        <v>8900</v>
      </c>
      <c r="E33" s="14"/>
    </row>
    <row r="34" spans="1:5" x14ac:dyDescent="0.3">
      <c r="A34" s="64" t="s">
        <v>629</v>
      </c>
      <c r="B34" s="65">
        <v>3000</v>
      </c>
      <c r="C34" s="65">
        <f>B34*1.4</f>
        <v>4200</v>
      </c>
      <c r="D34" s="65">
        <v>3900</v>
      </c>
      <c r="E34" s="14"/>
    </row>
    <row r="35" spans="1:5" x14ac:dyDescent="0.3">
      <c r="A35" s="6" t="s">
        <v>540</v>
      </c>
      <c r="B35" s="7">
        <v>1180</v>
      </c>
      <c r="C35" s="7">
        <f>B35*1.5</f>
        <v>1770</v>
      </c>
      <c r="D35" s="7">
        <v>1850</v>
      </c>
      <c r="E35" s="14"/>
    </row>
    <row r="36" spans="1:5" x14ac:dyDescent="0.3">
      <c r="A36" s="34"/>
      <c r="B36" s="35"/>
      <c r="C36" s="35">
        <f>B36*1.5</f>
        <v>0</v>
      </c>
      <c r="D36" s="35"/>
      <c r="E36" s="14"/>
    </row>
    <row r="37" spans="1:5" x14ac:dyDescent="0.3">
      <c r="C37" s="7">
        <f>B37*1.5</f>
        <v>0</v>
      </c>
      <c r="E37" s="14"/>
    </row>
    <row r="38" spans="1:5" x14ac:dyDescent="0.3">
      <c r="C38" s="7">
        <f>B38*1.5</f>
        <v>0</v>
      </c>
      <c r="E38" s="14"/>
    </row>
    <row r="39" spans="1:5" x14ac:dyDescent="0.3">
      <c r="C39" s="7">
        <f>B39*1.5</f>
        <v>0</v>
      </c>
      <c r="E39" s="14"/>
    </row>
    <row r="40" spans="1:5" x14ac:dyDescent="0.3">
      <c r="C40" s="7">
        <f>B40*1.6</f>
        <v>0</v>
      </c>
      <c r="E40" s="14"/>
    </row>
    <row r="41" spans="1:5" x14ac:dyDescent="0.3">
      <c r="A41" s="48"/>
      <c r="B41" s="49"/>
      <c r="C41" s="49">
        <f>B41*1.5</f>
        <v>0</v>
      </c>
      <c r="D41" s="49"/>
      <c r="E41" s="14"/>
    </row>
    <row r="42" spans="1:5" x14ac:dyDescent="0.3">
      <c r="C42" s="7">
        <f>B42*1.5</f>
        <v>0</v>
      </c>
      <c r="E42" s="14"/>
    </row>
    <row r="43" spans="1:5" x14ac:dyDescent="0.3">
      <c r="A43" s="48"/>
      <c r="B43" s="49"/>
      <c r="C43" s="49">
        <f>B43*1.7</f>
        <v>0</v>
      </c>
      <c r="D43" s="49"/>
      <c r="E43" s="14"/>
    </row>
    <row r="44" spans="1:5" x14ac:dyDescent="0.3">
      <c r="C44" s="7">
        <f>B44*1.5</f>
        <v>0</v>
      </c>
      <c r="E44" s="14"/>
    </row>
    <row r="45" spans="1:5" x14ac:dyDescent="0.3">
      <c r="C45" s="7">
        <f>B45*1.5</f>
        <v>0</v>
      </c>
      <c r="E45" s="14"/>
    </row>
    <row r="46" spans="1:5" x14ac:dyDescent="0.3">
      <c r="C46" s="7">
        <f>B46*1.5</f>
        <v>0</v>
      </c>
      <c r="E46" s="14"/>
    </row>
    <row r="47" spans="1:5" x14ac:dyDescent="0.3">
      <c r="E47" s="14"/>
    </row>
    <row r="48" spans="1:5" x14ac:dyDescent="0.3">
      <c r="E48" s="14"/>
    </row>
    <row r="49" spans="5:5" x14ac:dyDescent="0.3">
      <c r="E49" s="14"/>
    </row>
    <row r="50" spans="5:5" x14ac:dyDescent="0.3">
      <c r="E50" s="14"/>
    </row>
    <row r="51" spans="5:5" x14ac:dyDescent="0.3">
      <c r="E51" s="14"/>
    </row>
    <row r="52" spans="5:5" x14ac:dyDescent="0.3">
      <c r="E52" s="14"/>
    </row>
    <row r="53" spans="5:5" x14ac:dyDescent="0.3">
      <c r="E53" s="14"/>
    </row>
    <row r="54" spans="5:5" x14ac:dyDescent="0.3">
      <c r="E54" s="14"/>
    </row>
    <row r="55" spans="5:5" x14ac:dyDescent="0.3">
      <c r="E55" s="14"/>
    </row>
    <row r="56" spans="5:5" x14ac:dyDescent="0.3">
      <c r="E56" s="14"/>
    </row>
    <row r="57" spans="5:5" x14ac:dyDescent="0.3">
      <c r="E57" s="14"/>
    </row>
    <row r="58" spans="5:5" x14ac:dyDescent="0.3">
      <c r="E58" s="14"/>
    </row>
    <row r="59" spans="5:5" x14ac:dyDescent="0.3">
      <c r="E59" s="14"/>
    </row>
    <row r="60" spans="5:5" x14ac:dyDescent="0.3">
      <c r="E60" s="14"/>
    </row>
    <row r="61" spans="5:5" x14ac:dyDescent="0.3">
      <c r="E61" s="14"/>
    </row>
    <row r="62" spans="5:5" x14ac:dyDescent="0.3">
      <c r="E62" s="14"/>
    </row>
    <row r="63" spans="5:5" x14ac:dyDescent="0.3">
      <c r="E63" s="14"/>
    </row>
    <row r="64" spans="5:5" x14ac:dyDescent="0.3">
      <c r="E64" s="14"/>
    </row>
    <row r="65" spans="5:5" x14ac:dyDescent="0.3">
      <c r="E65" s="14"/>
    </row>
    <row r="66" spans="5:5" x14ac:dyDescent="0.3">
      <c r="E66" s="14"/>
    </row>
    <row r="67" spans="5:5" x14ac:dyDescent="0.3">
      <c r="E67" s="14"/>
    </row>
    <row r="68" spans="5:5" x14ac:dyDescent="0.3">
      <c r="E68" s="14"/>
    </row>
    <row r="69" spans="5:5" x14ac:dyDescent="0.3">
      <c r="E69" s="14"/>
    </row>
    <row r="70" spans="5:5" x14ac:dyDescent="0.3">
      <c r="E70" s="14"/>
    </row>
    <row r="71" spans="5:5" x14ac:dyDescent="0.3">
      <c r="E71" s="14"/>
    </row>
    <row r="72" spans="5:5" x14ac:dyDescent="0.3">
      <c r="E72" s="14"/>
    </row>
    <row r="73" spans="5:5" x14ac:dyDescent="0.3">
      <c r="E73" s="14"/>
    </row>
    <row r="74" spans="5:5" x14ac:dyDescent="0.3">
      <c r="E74" s="14"/>
    </row>
    <row r="75" spans="5:5" x14ac:dyDescent="0.3">
      <c r="E75" s="14"/>
    </row>
    <row r="76" spans="5:5" x14ac:dyDescent="0.3">
      <c r="E76" s="14"/>
    </row>
    <row r="77" spans="5:5" x14ac:dyDescent="0.3">
      <c r="E77" s="14"/>
    </row>
    <row r="78" spans="5:5" x14ac:dyDescent="0.3">
      <c r="E78" s="14"/>
    </row>
  </sheetData>
  <sortState xmlns:xlrd2="http://schemas.microsoft.com/office/spreadsheetml/2017/richdata2" ref="A2:D20">
    <sortCondition ref="A2:A20"/>
  </sortState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00941-E531-4DEA-9C4A-A76591EAF4CA}">
  <sheetPr codeName="Hoja16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48.109375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17.1093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45" t="s">
        <v>1183</v>
      </c>
      <c r="B2" s="46">
        <v>1100</v>
      </c>
      <c r="C2" s="46">
        <f>B2*1.7</f>
        <v>1870</v>
      </c>
      <c r="D2" s="46">
        <v>1900</v>
      </c>
      <c r="E2" s="47"/>
    </row>
    <row r="3" spans="1:5" x14ac:dyDescent="0.3">
      <c r="A3" s="45" t="s">
        <v>1182</v>
      </c>
      <c r="B3" s="46">
        <v>2675</v>
      </c>
      <c r="C3" s="46">
        <f>B3*1.6</f>
        <v>4280</v>
      </c>
      <c r="D3" s="46">
        <v>4300</v>
      </c>
      <c r="E3" s="47"/>
    </row>
    <row r="4" spans="1:5" x14ac:dyDescent="0.3">
      <c r="A4" s="45" t="s">
        <v>1181</v>
      </c>
      <c r="B4" s="46">
        <v>5300</v>
      </c>
      <c r="C4" s="46">
        <f>B4*1.5</f>
        <v>7950</v>
      </c>
      <c r="D4" s="46">
        <v>8000</v>
      </c>
      <c r="E4" s="46"/>
    </row>
    <row r="5" spans="1:5" x14ac:dyDescent="0.3">
      <c r="A5" s="45" t="s">
        <v>1180</v>
      </c>
      <c r="B5" s="46">
        <v>10550</v>
      </c>
      <c r="C5" s="46">
        <f>B5*1.4</f>
        <v>14769.999999999998</v>
      </c>
      <c r="D5" s="46">
        <v>14800</v>
      </c>
      <c r="E5" s="47">
        <v>10500</v>
      </c>
    </row>
    <row r="6" spans="1:5" x14ac:dyDescent="0.3">
      <c r="A6" s="58" t="s">
        <v>1184</v>
      </c>
      <c r="B6" s="59">
        <v>1350</v>
      </c>
      <c r="C6" s="59">
        <f>B6*1.7</f>
        <v>2295</v>
      </c>
      <c r="D6" s="59">
        <v>2300</v>
      </c>
      <c r="E6" s="60"/>
    </row>
    <row r="7" spans="1:5" x14ac:dyDescent="0.3">
      <c r="A7" s="58" t="s">
        <v>1185</v>
      </c>
      <c r="B7" s="59">
        <v>3300</v>
      </c>
      <c r="C7" s="59">
        <f>B7*1.6</f>
        <v>5280</v>
      </c>
      <c r="D7" s="59">
        <v>5300</v>
      </c>
      <c r="E7" s="60"/>
    </row>
    <row r="8" spans="1:5" x14ac:dyDescent="0.3">
      <c r="A8" s="58" t="s">
        <v>1186</v>
      </c>
      <c r="B8" s="59">
        <v>6550</v>
      </c>
      <c r="C8" s="59">
        <f>B8*1.5</f>
        <v>9825</v>
      </c>
      <c r="D8" s="59">
        <v>9850</v>
      </c>
      <c r="E8" s="60"/>
    </row>
    <row r="9" spans="1:5" x14ac:dyDescent="0.3">
      <c r="A9" s="58" t="s">
        <v>1187</v>
      </c>
      <c r="B9" s="59">
        <v>13050</v>
      </c>
      <c r="C9" s="59">
        <f>B9*1.4</f>
        <v>18270</v>
      </c>
      <c r="D9" s="59">
        <v>18300</v>
      </c>
      <c r="E9" s="60">
        <v>13000</v>
      </c>
    </row>
    <row r="10" spans="1:5" x14ac:dyDescent="0.3">
      <c r="A10" s="39" t="s">
        <v>83</v>
      </c>
      <c r="B10" s="40">
        <v>10000</v>
      </c>
      <c r="C10" s="40">
        <f>B10*1.35</f>
        <v>13500</v>
      </c>
      <c r="D10" s="40">
        <v>13600</v>
      </c>
      <c r="E10" s="41"/>
    </row>
    <row r="11" spans="1:5" x14ac:dyDescent="0.3">
      <c r="A11" s="39" t="s">
        <v>84</v>
      </c>
      <c r="B11" s="40">
        <v>5000</v>
      </c>
      <c r="C11" s="40">
        <f>B11*1.4</f>
        <v>7000</v>
      </c>
      <c r="D11" s="40">
        <v>7100</v>
      </c>
      <c r="E11" s="41"/>
    </row>
    <row r="12" spans="1:5" x14ac:dyDescent="0.3">
      <c r="A12" s="61" t="s">
        <v>1191</v>
      </c>
      <c r="B12" s="62">
        <v>1800</v>
      </c>
      <c r="C12" s="62">
        <f>B12*1.7</f>
        <v>3060</v>
      </c>
      <c r="D12" s="62">
        <v>3000</v>
      </c>
      <c r="E12" s="63"/>
    </row>
    <row r="13" spans="1:5" x14ac:dyDescent="0.3">
      <c r="A13" s="61" t="s">
        <v>1190</v>
      </c>
      <c r="B13" s="62">
        <v>4500</v>
      </c>
      <c r="C13" s="62">
        <f>B13*1.6</f>
        <v>7200</v>
      </c>
      <c r="D13" s="62">
        <v>7200</v>
      </c>
      <c r="E13" s="63"/>
    </row>
    <row r="14" spans="1:5" x14ac:dyDescent="0.3">
      <c r="A14" s="61" t="s">
        <v>1189</v>
      </c>
      <c r="B14" s="62">
        <v>9000</v>
      </c>
      <c r="C14" s="62">
        <f>B14*1.5</f>
        <v>13500</v>
      </c>
      <c r="D14" s="62">
        <v>13500</v>
      </c>
      <c r="E14" s="63"/>
    </row>
    <row r="15" spans="1:5" x14ac:dyDescent="0.3">
      <c r="A15" s="61" t="s">
        <v>1188</v>
      </c>
      <c r="B15" s="62">
        <v>18000</v>
      </c>
      <c r="C15" s="62">
        <f>B15*1.4</f>
        <v>25200</v>
      </c>
      <c r="D15" s="62">
        <v>25000</v>
      </c>
      <c r="E15" s="63">
        <v>18000</v>
      </c>
    </row>
    <row r="16" spans="1:5" x14ac:dyDescent="0.3">
      <c r="A16" s="100" t="s">
        <v>1195</v>
      </c>
      <c r="B16" s="101">
        <v>950</v>
      </c>
      <c r="C16" s="101">
        <f>B16*1.7</f>
        <v>1615</v>
      </c>
      <c r="D16" s="101">
        <v>1600</v>
      </c>
      <c r="E16" s="102"/>
    </row>
    <row r="17" spans="1:5" x14ac:dyDescent="0.3">
      <c r="A17" s="45" t="s">
        <v>1194</v>
      </c>
      <c r="B17" s="46">
        <v>2300</v>
      </c>
      <c r="C17" s="46">
        <f>B17*1.6</f>
        <v>3680</v>
      </c>
      <c r="D17" s="46">
        <v>3700</v>
      </c>
      <c r="E17" s="47"/>
    </row>
    <row r="18" spans="1:5" x14ac:dyDescent="0.3">
      <c r="A18" s="100" t="s">
        <v>1193</v>
      </c>
      <c r="B18" s="101">
        <v>4550</v>
      </c>
      <c r="C18" s="101">
        <f>B18*1.5</f>
        <v>6825</v>
      </c>
      <c r="D18" s="101">
        <v>6800</v>
      </c>
      <c r="E18" s="101"/>
    </row>
    <row r="19" spans="1:5" x14ac:dyDescent="0.3">
      <c r="A19" s="45" t="s">
        <v>1192</v>
      </c>
      <c r="B19" s="46">
        <v>9050</v>
      </c>
      <c r="C19" s="46">
        <f>B19*1.4</f>
        <v>12670</v>
      </c>
      <c r="D19" s="46">
        <v>12650</v>
      </c>
      <c r="E19" s="47">
        <v>9000</v>
      </c>
    </row>
    <row r="20" spans="1:5" x14ac:dyDescent="0.3">
      <c r="A20" s="78" t="s">
        <v>1200</v>
      </c>
      <c r="B20" s="79">
        <v>960</v>
      </c>
      <c r="C20" s="79">
        <f>B20*1.7</f>
        <v>1632</v>
      </c>
      <c r="D20" s="79">
        <v>1600</v>
      </c>
      <c r="E20" s="80">
        <v>9100</v>
      </c>
    </row>
    <row r="21" spans="1:5" x14ac:dyDescent="0.3">
      <c r="A21" s="58" t="s">
        <v>1199</v>
      </c>
      <c r="B21" s="59">
        <v>1140</v>
      </c>
      <c r="C21" s="59">
        <f>B21*1.7</f>
        <v>1938</v>
      </c>
      <c r="D21" s="59">
        <v>1900</v>
      </c>
      <c r="E21" s="60"/>
    </row>
    <row r="22" spans="1:5" x14ac:dyDescent="0.3">
      <c r="A22" s="39" t="s">
        <v>1198</v>
      </c>
      <c r="B22" s="40">
        <v>2350</v>
      </c>
      <c r="C22" s="40">
        <f>B22*1.6</f>
        <v>3760</v>
      </c>
      <c r="D22" s="40">
        <v>3750</v>
      </c>
      <c r="E22" s="41"/>
    </row>
    <row r="23" spans="1:5" x14ac:dyDescent="0.3">
      <c r="A23" s="78" t="s">
        <v>1197</v>
      </c>
      <c r="B23" s="79">
        <v>4600</v>
      </c>
      <c r="C23" s="79">
        <f>B23*1.5</f>
        <v>6900</v>
      </c>
      <c r="D23" s="79">
        <v>6900</v>
      </c>
      <c r="E23" s="80"/>
    </row>
    <row r="24" spans="1:5" x14ac:dyDescent="0.3">
      <c r="A24" s="39" t="s">
        <v>1196</v>
      </c>
      <c r="B24" s="40">
        <v>9150</v>
      </c>
      <c r="C24" s="40">
        <f>B24*1.4</f>
        <v>12810</v>
      </c>
      <c r="D24" s="40">
        <v>12800</v>
      </c>
      <c r="E24" s="41">
        <v>9100</v>
      </c>
    </row>
    <row r="25" spans="1:5" x14ac:dyDescent="0.3">
      <c r="A25" s="100" t="s">
        <v>1201</v>
      </c>
      <c r="B25" s="101">
        <v>700</v>
      </c>
      <c r="C25" s="101">
        <f>B25*1.8</f>
        <v>1260</v>
      </c>
      <c r="D25" s="101">
        <v>1300</v>
      </c>
      <c r="E25" s="102">
        <v>6500</v>
      </c>
    </row>
    <row r="26" spans="1:5" x14ac:dyDescent="0.3">
      <c r="A26" s="45" t="s">
        <v>1202</v>
      </c>
      <c r="B26" s="46">
        <v>1400</v>
      </c>
      <c r="C26" s="46">
        <f>B26*1.7</f>
        <v>2380</v>
      </c>
      <c r="D26" s="46">
        <v>2400</v>
      </c>
      <c r="E26" s="47"/>
    </row>
    <row r="27" spans="1:5" x14ac:dyDescent="0.3">
      <c r="A27" s="100" t="s">
        <v>1203</v>
      </c>
      <c r="B27" s="101">
        <v>3300</v>
      </c>
      <c r="C27" s="101">
        <f>B27*1.6</f>
        <v>5280</v>
      </c>
      <c r="D27" s="101">
        <v>5300</v>
      </c>
      <c r="E27" s="102"/>
    </row>
    <row r="28" spans="1:5" x14ac:dyDescent="0.3">
      <c r="A28" s="45" t="s">
        <v>1204</v>
      </c>
      <c r="B28" s="46">
        <v>6550</v>
      </c>
      <c r="C28" s="46">
        <f>B28*1.5</f>
        <v>9825</v>
      </c>
      <c r="D28" s="46">
        <v>9800</v>
      </c>
      <c r="E28" s="47">
        <v>6500</v>
      </c>
    </row>
    <row r="29" spans="1:5" x14ac:dyDescent="0.3">
      <c r="A29" s="28" t="s">
        <v>1207</v>
      </c>
      <c r="B29" s="29">
        <v>640</v>
      </c>
      <c r="C29" s="29">
        <f>B29*1.7</f>
        <v>1088</v>
      </c>
      <c r="D29" s="29">
        <v>1100</v>
      </c>
      <c r="E29" s="30">
        <v>3200</v>
      </c>
    </row>
    <row r="30" spans="1:5" x14ac:dyDescent="0.3">
      <c r="A30" s="28" t="s">
        <v>1206</v>
      </c>
      <c r="B30" s="29">
        <v>850</v>
      </c>
      <c r="C30" s="29">
        <f>B30*1.6</f>
        <v>1360</v>
      </c>
      <c r="D30" s="29">
        <v>1400</v>
      </c>
      <c r="E30" s="30"/>
    </row>
    <row r="31" spans="1:5" x14ac:dyDescent="0.3">
      <c r="A31" s="28" t="s">
        <v>1205</v>
      </c>
      <c r="B31" s="29">
        <v>1650</v>
      </c>
      <c r="C31" s="29">
        <f>B31*1.6</f>
        <v>2640</v>
      </c>
      <c r="D31" s="29">
        <v>2650</v>
      </c>
      <c r="E31" s="30"/>
    </row>
    <row r="32" spans="1:5" x14ac:dyDescent="0.3">
      <c r="A32" s="162" t="s">
        <v>1212</v>
      </c>
      <c r="B32" s="163">
        <v>425</v>
      </c>
      <c r="C32" s="163">
        <f>B32*1.8</f>
        <v>765</v>
      </c>
      <c r="D32" s="163">
        <v>750</v>
      </c>
      <c r="E32" s="164"/>
    </row>
    <row r="33" spans="1:5" x14ac:dyDescent="0.3">
      <c r="A33" s="162" t="s">
        <v>1211</v>
      </c>
      <c r="B33" s="163">
        <v>500</v>
      </c>
      <c r="C33" s="163">
        <f>B33*1.7</f>
        <v>850</v>
      </c>
      <c r="D33" s="163">
        <v>850</v>
      </c>
      <c r="E33" s="164"/>
    </row>
    <row r="34" spans="1:5" x14ac:dyDescent="0.3">
      <c r="A34" s="162" t="s">
        <v>1210</v>
      </c>
      <c r="B34" s="163">
        <v>800</v>
      </c>
      <c r="C34" s="163">
        <f>B34*1.6</f>
        <v>1280</v>
      </c>
      <c r="D34" s="163">
        <v>1300</v>
      </c>
      <c r="E34" s="164"/>
    </row>
    <row r="35" spans="1:5" x14ac:dyDescent="0.3">
      <c r="A35" s="162" t="s">
        <v>1209</v>
      </c>
      <c r="B35" s="163">
        <v>1550</v>
      </c>
      <c r="C35" s="163">
        <f>B35*1.5</f>
        <v>2325</v>
      </c>
      <c r="D35" s="163">
        <v>2300</v>
      </c>
      <c r="E35" s="164"/>
    </row>
    <row r="36" spans="1:5" x14ac:dyDescent="0.3">
      <c r="A36" s="162" t="s">
        <v>1208</v>
      </c>
      <c r="B36" s="163">
        <v>3050</v>
      </c>
      <c r="C36" s="163">
        <f>B36*1.4</f>
        <v>4270</v>
      </c>
      <c r="D36" s="163">
        <v>4300</v>
      </c>
      <c r="E36" s="164">
        <v>3000</v>
      </c>
    </row>
    <row r="37" spans="1:5" x14ac:dyDescent="0.3">
      <c r="A37" s="61" t="s">
        <v>209</v>
      </c>
      <c r="B37" s="62">
        <v>2600</v>
      </c>
      <c r="C37" s="62">
        <f>B37*1.5</f>
        <v>3900</v>
      </c>
      <c r="D37" s="62">
        <v>3900</v>
      </c>
      <c r="E37" s="63"/>
    </row>
    <row r="38" spans="1:5" x14ac:dyDescent="0.3">
      <c r="A38" s="61" t="s">
        <v>210</v>
      </c>
      <c r="B38" s="62">
        <v>1300</v>
      </c>
      <c r="C38" s="62">
        <f>B38*1.6</f>
        <v>2080</v>
      </c>
      <c r="D38" s="62">
        <v>2100</v>
      </c>
      <c r="E38" s="63"/>
    </row>
    <row r="39" spans="1:5" x14ac:dyDescent="0.3">
      <c r="A39" s="78" t="s">
        <v>211</v>
      </c>
      <c r="B39" s="79">
        <v>2600</v>
      </c>
      <c r="C39" s="79">
        <f>B39*1.6</f>
        <v>4160</v>
      </c>
      <c r="D39" s="79">
        <v>4100</v>
      </c>
      <c r="E39" s="80">
        <v>2500</v>
      </c>
    </row>
    <row r="40" spans="1:5" x14ac:dyDescent="0.3">
      <c r="A40" s="78" t="s">
        <v>212</v>
      </c>
      <c r="B40" s="79">
        <v>1300</v>
      </c>
      <c r="C40" s="79">
        <f>B40*1.7</f>
        <v>2210</v>
      </c>
      <c r="D40" s="79">
        <v>2200</v>
      </c>
      <c r="E40" s="80"/>
    </row>
    <row r="41" spans="1:5" x14ac:dyDescent="0.3">
      <c r="A41" s="100" t="s">
        <v>1216</v>
      </c>
      <c r="B41" s="101">
        <v>500</v>
      </c>
      <c r="C41" s="101">
        <f>B41*1.7</f>
        <v>850</v>
      </c>
      <c r="D41" s="101">
        <v>900</v>
      </c>
      <c r="E41" s="102"/>
    </row>
    <row r="42" spans="1:5" x14ac:dyDescent="0.3">
      <c r="A42" s="45" t="s">
        <v>1215</v>
      </c>
      <c r="B42" s="46">
        <v>800</v>
      </c>
      <c r="C42" s="46">
        <f>B42*1.6</f>
        <v>1280</v>
      </c>
      <c r="D42" s="46">
        <v>1300</v>
      </c>
      <c r="E42" s="47"/>
    </row>
    <row r="43" spans="1:5" x14ac:dyDescent="0.3">
      <c r="A43" s="100" t="s">
        <v>1214</v>
      </c>
      <c r="B43" s="101">
        <v>1550</v>
      </c>
      <c r="C43" s="101">
        <f>B43*1.5</f>
        <v>2325</v>
      </c>
      <c r="D43" s="101">
        <v>2300</v>
      </c>
      <c r="E43" s="102"/>
    </row>
    <row r="44" spans="1:5" x14ac:dyDescent="0.3">
      <c r="A44" s="45" t="s">
        <v>1213</v>
      </c>
      <c r="B44" s="46">
        <v>3050</v>
      </c>
      <c r="C44" s="46">
        <f>B44*1.4</f>
        <v>4270</v>
      </c>
      <c r="D44" s="46">
        <v>4300</v>
      </c>
      <c r="E44" s="47">
        <v>3000</v>
      </c>
    </row>
    <row r="45" spans="1:5" x14ac:dyDescent="0.3">
      <c r="A45" s="109" t="s">
        <v>1217</v>
      </c>
      <c r="B45" s="110">
        <v>865</v>
      </c>
      <c r="C45" s="110">
        <f>B45*1.7</f>
        <v>1470.5</v>
      </c>
      <c r="D45" s="110">
        <v>1500</v>
      </c>
      <c r="E45" s="111"/>
    </row>
    <row r="46" spans="1:5" x14ac:dyDescent="0.3">
      <c r="A46" s="131" t="s">
        <v>1218</v>
      </c>
      <c r="B46" s="132">
        <v>1425</v>
      </c>
      <c r="C46" s="132">
        <f>B46*1.6</f>
        <v>2280</v>
      </c>
      <c r="D46" s="132">
        <v>2300</v>
      </c>
      <c r="E46" s="133"/>
    </row>
    <row r="47" spans="1:5" x14ac:dyDescent="0.3">
      <c r="A47" s="109" t="s">
        <v>1219</v>
      </c>
      <c r="B47" s="110">
        <v>2800</v>
      </c>
      <c r="C47" s="110">
        <f>B47*1.5</f>
        <v>4200</v>
      </c>
      <c r="D47" s="110">
        <v>4200</v>
      </c>
      <c r="E47" s="111"/>
    </row>
    <row r="48" spans="1:5" x14ac:dyDescent="0.3">
      <c r="A48" s="131" t="s">
        <v>1220</v>
      </c>
      <c r="B48" s="132">
        <v>5550</v>
      </c>
      <c r="C48" s="132">
        <f>B48*1.4</f>
        <v>7769.9999999999991</v>
      </c>
      <c r="D48" s="132">
        <v>7800</v>
      </c>
      <c r="E48" s="133">
        <v>4500</v>
      </c>
    </row>
    <row r="49" spans="1:5" x14ac:dyDescent="0.3">
      <c r="A49" s="100" t="s">
        <v>475</v>
      </c>
      <c r="B49" s="101">
        <v>990</v>
      </c>
      <c r="C49" s="101">
        <f>B49*1.7</f>
        <v>1683</v>
      </c>
      <c r="D49" s="101">
        <v>1700</v>
      </c>
      <c r="E49" s="102"/>
    </row>
    <row r="50" spans="1:5" x14ac:dyDescent="0.3">
      <c r="A50" s="45" t="s">
        <v>599</v>
      </c>
      <c r="B50" s="46">
        <v>1500</v>
      </c>
      <c r="C50" s="46">
        <f>B50*1.7</f>
        <v>2550</v>
      </c>
      <c r="D50" s="46">
        <v>2500</v>
      </c>
      <c r="E50" s="47"/>
    </row>
    <row r="51" spans="1:5" x14ac:dyDescent="0.3">
      <c r="A51" s="45" t="s">
        <v>598</v>
      </c>
      <c r="B51" s="46">
        <v>2500</v>
      </c>
      <c r="C51" s="46">
        <f>B51*1.6</f>
        <v>4000</v>
      </c>
      <c r="D51" s="46">
        <v>4000</v>
      </c>
      <c r="E51" s="47"/>
    </row>
    <row r="52" spans="1:5" x14ac:dyDescent="0.3">
      <c r="A52" s="45" t="s">
        <v>597</v>
      </c>
      <c r="B52" s="46">
        <v>4900</v>
      </c>
      <c r="C52" s="46">
        <f>B52*1.5</f>
        <v>7350</v>
      </c>
      <c r="D52" s="46">
        <v>7350</v>
      </c>
      <c r="E52" s="47"/>
    </row>
    <row r="53" spans="1:5" x14ac:dyDescent="0.3">
      <c r="A53" s="100" t="s">
        <v>596</v>
      </c>
      <c r="B53" s="101">
        <v>9750</v>
      </c>
      <c r="C53" s="101">
        <f>B53*1.4</f>
        <v>13650</v>
      </c>
      <c r="D53" s="101">
        <v>13700</v>
      </c>
      <c r="E53" s="102">
        <v>9700</v>
      </c>
    </row>
    <row r="54" spans="1:5" x14ac:dyDescent="0.3">
      <c r="A54" s="31" t="s">
        <v>1224</v>
      </c>
      <c r="B54" s="32">
        <v>1200</v>
      </c>
      <c r="C54" s="32">
        <f>B54*1.7</f>
        <v>2040</v>
      </c>
      <c r="D54" s="32">
        <v>2050</v>
      </c>
      <c r="E54" s="33"/>
    </row>
    <row r="55" spans="1:5" x14ac:dyDescent="0.3">
      <c r="A55" s="31" t="s">
        <v>1223</v>
      </c>
      <c r="B55" s="32">
        <v>1950</v>
      </c>
      <c r="C55" s="32">
        <f>B55*1.6</f>
        <v>3120</v>
      </c>
      <c r="D55" s="32">
        <v>3150</v>
      </c>
      <c r="E55" s="33"/>
    </row>
    <row r="56" spans="1:5" x14ac:dyDescent="0.3">
      <c r="A56" s="31" t="s">
        <v>1222</v>
      </c>
      <c r="B56" s="32">
        <v>3850</v>
      </c>
      <c r="C56" s="32">
        <f>B56*1.5</f>
        <v>5775</v>
      </c>
      <c r="D56" s="32">
        <v>5800</v>
      </c>
      <c r="E56" s="33"/>
    </row>
    <row r="57" spans="1:5" x14ac:dyDescent="0.3">
      <c r="A57" s="31" t="s">
        <v>1221</v>
      </c>
      <c r="B57" s="32">
        <v>7650</v>
      </c>
      <c r="C57" s="32">
        <f>B57*1.4</f>
        <v>10710</v>
      </c>
      <c r="D57" s="32">
        <v>10700</v>
      </c>
      <c r="E57" s="33">
        <v>7600</v>
      </c>
    </row>
    <row r="58" spans="1:5" x14ac:dyDescent="0.3">
      <c r="A58" s="39" t="s">
        <v>282</v>
      </c>
      <c r="B58" s="40"/>
      <c r="C58" s="40">
        <f>B58*1.5</f>
        <v>0</v>
      </c>
      <c r="D58" s="40">
        <v>1000</v>
      </c>
      <c r="E58" s="41"/>
    </row>
    <row r="59" spans="1:5" x14ac:dyDescent="0.3">
      <c r="A59" s="39" t="s">
        <v>603</v>
      </c>
      <c r="B59" s="40">
        <v>1070</v>
      </c>
      <c r="C59" s="40">
        <f>B59*1.7</f>
        <v>1819</v>
      </c>
      <c r="D59" s="40">
        <v>1800</v>
      </c>
      <c r="E59" s="41"/>
    </row>
    <row r="60" spans="1:5" x14ac:dyDescent="0.3">
      <c r="A60" s="39" t="s">
        <v>602</v>
      </c>
      <c r="B60" s="40">
        <v>1750</v>
      </c>
      <c r="C60" s="40">
        <f>B60*1.6</f>
        <v>2800</v>
      </c>
      <c r="D60" s="40">
        <v>2800</v>
      </c>
      <c r="E60" s="41"/>
    </row>
    <row r="61" spans="1:5" x14ac:dyDescent="0.3">
      <c r="A61" s="39" t="s">
        <v>601</v>
      </c>
      <c r="B61" s="40">
        <v>3450</v>
      </c>
      <c r="C61" s="40">
        <f>B61*1.5</f>
        <v>5175</v>
      </c>
      <c r="D61" s="40">
        <v>5200</v>
      </c>
      <c r="E61" s="41"/>
    </row>
    <row r="62" spans="1:5" x14ac:dyDescent="0.3">
      <c r="A62" s="39" t="s">
        <v>600</v>
      </c>
      <c r="B62" s="40">
        <v>6850</v>
      </c>
      <c r="C62" s="40">
        <f>B62*1.4</f>
        <v>9590</v>
      </c>
      <c r="D62" s="40">
        <v>9600</v>
      </c>
      <c r="E62" s="41">
        <v>6800</v>
      </c>
    </row>
    <row r="63" spans="1:5" x14ac:dyDescent="0.3">
      <c r="A63" s="28" t="s">
        <v>222</v>
      </c>
      <c r="B63" s="29">
        <v>580</v>
      </c>
      <c r="C63" s="29">
        <f>B63*1.7</f>
        <v>986</v>
      </c>
      <c r="D63" s="29">
        <v>1000</v>
      </c>
      <c r="E63" s="30"/>
    </row>
    <row r="64" spans="1:5" x14ac:dyDescent="0.3">
      <c r="A64" s="112" t="s">
        <v>607</v>
      </c>
      <c r="B64" s="113">
        <v>1070</v>
      </c>
      <c r="C64" s="113">
        <f>B64*1.7</f>
        <v>1819</v>
      </c>
      <c r="D64" s="113">
        <v>1800</v>
      </c>
      <c r="E64" s="114"/>
    </row>
    <row r="65" spans="1:5" x14ac:dyDescent="0.3">
      <c r="A65" s="28" t="s">
        <v>606</v>
      </c>
      <c r="B65" s="29">
        <v>1750</v>
      </c>
      <c r="C65" s="29">
        <f>B65*1.5</f>
        <v>2625</v>
      </c>
      <c r="D65" s="29">
        <v>2800</v>
      </c>
      <c r="E65" s="30"/>
    </row>
    <row r="66" spans="1:5" x14ac:dyDescent="0.3">
      <c r="A66" s="112" t="s">
        <v>605</v>
      </c>
      <c r="B66" s="113">
        <v>3450</v>
      </c>
      <c r="C66" s="113">
        <f>B66*1.5</f>
        <v>5175</v>
      </c>
      <c r="D66" s="113">
        <v>5200</v>
      </c>
      <c r="E66" s="114"/>
    </row>
    <row r="67" spans="1:5" x14ac:dyDescent="0.3">
      <c r="A67" s="28" t="s">
        <v>604</v>
      </c>
      <c r="B67" s="29">
        <v>6850</v>
      </c>
      <c r="C67" s="29">
        <f>B67*1.4</f>
        <v>9590</v>
      </c>
      <c r="D67" s="29">
        <v>9600</v>
      </c>
      <c r="E67" s="30">
        <v>6800</v>
      </c>
    </row>
    <row r="68" spans="1:5" x14ac:dyDescent="0.3">
      <c r="A68" s="78" t="s">
        <v>1228</v>
      </c>
      <c r="B68" s="79">
        <v>4050</v>
      </c>
      <c r="C68" s="79">
        <f>B68*1.5</f>
        <v>6075</v>
      </c>
      <c r="D68" s="79">
        <v>6000</v>
      </c>
      <c r="E68" s="80">
        <v>4000</v>
      </c>
    </row>
    <row r="69" spans="1:5" x14ac:dyDescent="0.3">
      <c r="A69" s="39" t="s">
        <v>1227</v>
      </c>
      <c r="B69" s="40">
        <v>2050</v>
      </c>
      <c r="C69" s="40">
        <f>B69*1.6</f>
        <v>3280</v>
      </c>
      <c r="D69" s="40">
        <v>3300</v>
      </c>
      <c r="E69" s="41"/>
    </row>
    <row r="70" spans="1:5" x14ac:dyDescent="0.3">
      <c r="A70" s="78" t="s">
        <v>1226</v>
      </c>
      <c r="B70" s="79">
        <v>1050</v>
      </c>
      <c r="C70" s="79">
        <f>B70*1.7</f>
        <v>1785</v>
      </c>
      <c r="D70" s="79">
        <v>1800</v>
      </c>
      <c r="E70" s="80"/>
    </row>
    <row r="71" spans="1:5" x14ac:dyDescent="0.3">
      <c r="A71" s="109" t="s">
        <v>839</v>
      </c>
      <c r="B71" s="110">
        <v>9050</v>
      </c>
      <c r="C71" s="110">
        <f>B71*1.4</f>
        <v>12670</v>
      </c>
      <c r="D71" s="110">
        <v>12600</v>
      </c>
      <c r="E71" s="111">
        <v>9000</v>
      </c>
    </row>
    <row r="72" spans="1:5" x14ac:dyDescent="0.3">
      <c r="A72" s="25" t="s">
        <v>840</v>
      </c>
      <c r="B72" s="26">
        <v>2300</v>
      </c>
      <c r="C72" s="26">
        <f>B72*1.5</f>
        <v>3450</v>
      </c>
      <c r="D72" s="26">
        <v>3450</v>
      </c>
      <c r="E72" s="27"/>
    </row>
    <row r="73" spans="1:5" x14ac:dyDescent="0.3">
      <c r="A73" s="109" t="s">
        <v>1225</v>
      </c>
      <c r="B73" s="110">
        <v>4550</v>
      </c>
      <c r="C73" s="110">
        <f>B73*1.5</f>
        <v>6825</v>
      </c>
      <c r="D73" s="110">
        <v>6850</v>
      </c>
      <c r="E73" s="111"/>
    </row>
    <row r="74" spans="1:5" x14ac:dyDescent="0.3">
      <c r="A74" s="100" t="s">
        <v>1229</v>
      </c>
      <c r="B74" s="101">
        <v>9550</v>
      </c>
      <c r="C74" s="101">
        <f>B74*1.4</f>
        <v>13370</v>
      </c>
      <c r="D74" s="101">
        <v>13400</v>
      </c>
      <c r="E74" s="102">
        <v>9500</v>
      </c>
    </row>
    <row r="75" spans="1:5" x14ac:dyDescent="0.3">
      <c r="A75" s="100" t="s">
        <v>1230</v>
      </c>
      <c r="B75" s="101">
        <v>4800</v>
      </c>
      <c r="C75" s="101">
        <f>B75*1.5</f>
        <v>7200</v>
      </c>
      <c r="D75" s="101">
        <v>7200</v>
      </c>
      <c r="E75" s="101"/>
    </row>
    <row r="76" spans="1:5" x14ac:dyDescent="0.3">
      <c r="A76" s="100" t="s">
        <v>1231</v>
      </c>
      <c r="B76" s="101">
        <v>1000</v>
      </c>
      <c r="C76" s="101">
        <f>B76*1.7</f>
        <v>1700</v>
      </c>
      <c r="D76" s="101">
        <v>1700</v>
      </c>
      <c r="E76" s="102"/>
    </row>
    <row r="77" spans="1:5" x14ac:dyDescent="0.3">
      <c r="A77" s="100" t="s">
        <v>1232</v>
      </c>
      <c r="B77" s="101">
        <v>2425</v>
      </c>
      <c r="C77" s="101">
        <f>B77*1.6</f>
        <v>3880</v>
      </c>
      <c r="D77" s="101">
        <v>3900</v>
      </c>
      <c r="E77" s="102"/>
    </row>
    <row r="78" spans="1:5" x14ac:dyDescent="0.3">
      <c r="A78" s="25" t="s">
        <v>1240</v>
      </c>
      <c r="B78" s="26">
        <v>1050</v>
      </c>
      <c r="C78" s="26">
        <f>B78*1.7</f>
        <v>1785</v>
      </c>
      <c r="D78" s="26">
        <v>1800</v>
      </c>
      <c r="E78" s="27"/>
    </row>
    <row r="79" spans="1:5" x14ac:dyDescent="0.3">
      <c r="A79" s="25" t="s">
        <v>1239</v>
      </c>
      <c r="B79" s="26">
        <v>2550</v>
      </c>
      <c r="C79" s="26">
        <f>B79*1.6</f>
        <v>4080</v>
      </c>
      <c r="D79" s="26">
        <v>4100</v>
      </c>
      <c r="E79" s="27"/>
    </row>
    <row r="80" spans="1:5" x14ac:dyDescent="0.3">
      <c r="A80" s="25" t="s">
        <v>1238</v>
      </c>
      <c r="B80" s="26">
        <v>5050</v>
      </c>
      <c r="C80" s="26">
        <f>B80*1.5</f>
        <v>7575</v>
      </c>
      <c r="D80" s="26">
        <v>7600</v>
      </c>
      <c r="E80" s="27"/>
    </row>
    <row r="81" spans="1:5" x14ac:dyDescent="0.3">
      <c r="A81" s="25" t="s">
        <v>1237</v>
      </c>
      <c r="B81" s="26">
        <v>10050</v>
      </c>
      <c r="C81" s="26">
        <f>B81*1.4</f>
        <v>14070</v>
      </c>
      <c r="D81" s="26">
        <v>14100</v>
      </c>
      <c r="E81" s="27">
        <v>10000</v>
      </c>
    </row>
    <row r="82" spans="1:5" x14ac:dyDescent="0.3">
      <c r="A82" s="78" t="s">
        <v>1236</v>
      </c>
      <c r="B82" s="79">
        <v>2250</v>
      </c>
      <c r="C82" s="79">
        <f>B82*1.6</f>
        <v>3600</v>
      </c>
      <c r="D82" s="79">
        <v>3600</v>
      </c>
      <c r="E82" s="80"/>
    </row>
    <row r="83" spans="1:5" x14ac:dyDescent="0.3">
      <c r="A83" s="78" t="s">
        <v>1235</v>
      </c>
      <c r="B83" s="79">
        <v>5550</v>
      </c>
      <c r="C83" s="79">
        <f>B83*1.5</f>
        <v>8325</v>
      </c>
      <c r="D83" s="79">
        <v>8300</v>
      </c>
      <c r="E83" s="80"/>
    </row>
    <row r="84" spans="1:5" x14ac:dyDescent="0.3">
      <c r="A84" s="78" t="s">
        <v>1234</v>
      </c>
      <c r="B84" s="79">
        <v>11050</v>
      </c>
      <c r="C84" s="79">
        <f>B84*1.4</f>
        <v>15469.999999999998</v>
      </c>
      <c r="D84" s="79">
        <v>15500</v>
      </c>
      <c r="E84" s="80"/>
    </row>
    <row r="85" spans="1:5" x14ac:dyDescent="0.3">
      <c r="A85" s="78" t="s">
        <v>1233</v>
      </c>
      <c r="B85" s="79">
        <v>22050</v>
      </c>
      <c r="C85" s="79">
        <f>B85*1.3</f>
        <v>28665</v>
      </c>
      <c r="D85" s="79">
        <v>28600</v>
      </c>
      <c r="E85" s="80">
        <v>22000</v>
      </c>
    </row>
    <row r="86" spans="1:5" x14ac:dyDescent="0.3">
      <c r="A86" s="28" t="s">
        <v>49</v>
      </c>
      <c r="B86" s="29">
        <v>1540</v>
      </c>
      <c r="C86" s="29">
        <f>B86*1.5</f>
        <v>2310</v>
      </c>
      <c r="D86" s="29">
        <v>2300</v>
      </c>
      <c r="E86" s="30">
        <v>1500</v>
      </c>
    </row>
    <row r="87" spans="1:5" x14ac:dyDescent="0.3">
      <c r="A87" s="28" t="s">
        <v>50</v>
      </c>
      <c r="B87" s="29">
        <v>1540</v>
      </c>
      <c r="C87" s="29">
        <f>B87*1.5</f>
        <v>2310</v>
      </c>
      <c r="D87" s="29">
        <v>2300</v>
      </c>
      <c r="E87" s="30">
        <v>1500</v>
      </c>
    </row>
    <row r="88" spans="1:5" x14ac:dyDescent="0.3">
      <c r="A88" s="78" t="s">
        <v>258</v>
      </c>
      <c r="B88" s="79">
        <v>2360</v>
      </c>
      <c r="C88" s="79">
        <f>B88*1.6</f>
        <v>3776</v>
      </c>
      <c r="D88" s="79">
        <v>3800</v>
      </c>
      <c r="E88" s="80"/>
    </row>
    <row r="89" spans="1:5" x14ac:dyDescent="0.3">
      <c r="A89" s="58" t="s">
        <v>258</v>
      </c>
      <c r="B89" s="59">
        <v>4675</v>
      </c>
      <c r="C89" s="59">
        <f>B89*1.5</f>
        <v>7012.5</v>
      </c>
      <c r="D89" s="59">
        <v>7000</v>
      </c>
      <c r="E89" s="60"/>
    </row>
    <row r="90" spans="1:5" x14ac:dyDescent="0.3">
      <c r="A90" s="78" t="s">
        <v>258</v>
      </c>
      <c r="B90" s="79">
        <v>9250</v>
      </c>
      <c r="C90" s="79">
        <f>B90*1.4</f>
        <v>12950</v>
      </c>
      <c r="D90" s="79">
        <v>12950</v>
      </c>
      <c r="E90" s="80"/>
    </row>
    <row r="91" spans="1:5" x14ac:dyDescent="0.3">
      <c r="A91" s="25"/>
      <c r="B91" s="26"/>
      <c r="C91" s="26">
        <f>B91*1.5</f>
        <v>0</v>
      </c>
      <c r="D91" s="26"/>
      <c r="E91" s="27"/>
    </row>
    <row r="92" spans="1:5" x14ac:dyDescent="0.3">
      <c r="A92" s="28"/>
      <c r="B92" s="29"/>
      <c r="C92" s="29">
        <f>B92*1.5</f>
        <v>0</v>
      </c>
      <c r="D92" s="29"/>
      <c r="E92" s="30"/>
    </row>
    <row r="93" spans="1:5" x14ac:dyDescent="0.3">
      <c r="A93" s="28"/>
      <c r="B93" s="29"/>
      <c r="C93" s="29">
        <f>B93*1.4</f>
        <v>0</v>
      </c>
      <c r="D93" s="29"/>
      <c r="E93" s="30"/>
    </row>
    <row r="94" spans="1:5" x14ac:dyDescent="0.3">
      <c r="A94" s="100"/>
      <c r="B94" s="101"/>
      <c r="C94" s="101">
        <f>B94*1.8</f>
        <v>0</v>
      </c>
      <c r="D94" s="101"/>
      <c r="E94" s="102"/>
    </row>
    <row r="95" spans="1:5" x14ac:dyDescent="0.3">
      <c r="A95" s="100"/>
      <c r="B95" s="101"/>
      <c r="C95" s="101">
        <f>B95*1.4</f>
        <v>0</v>
      </c>
      <c r="D95" s="101"/>
      <c r="E95" s="102"/>
    </row>
    <row r="96" spans="1:5" x14ac:dyDescent="0.3">
      <c r="A96" s="100"/>
      <c r="B96" s="101"/>
      <c r="C96" s="101">
        <f>B96*1.6</f>
        <v>0</v>
      </c>
      <c r="D96" s="101"/>
      <c r="E96" s="102"/>
    </row>
    <row r="97" spans="1:5" x14ac:dyDescent="0.3">
      <c r="A97" s="100"/>
      <c r="B97" s="101"/>
      <c r="C97" s="101">
        <f>B97*1.5</f>
        <v>0</v>
      </c>
      <c r="D97" s="101"/>
      <c r="E97" s="102"/>
    </row>
    <row r="98" spans="1:5" x14ac:dyDescent="0.3">
      <c r="A98" s="78"/>
      <c r="B98" s="79"/>
      <c r="C98" s="79">
        <f>B98*1.4</f>
        <v>0</v>
      </c>
      <c r="D98" s="79"/>
      <c r="E98" s="80"/>
    </row>
    <row r="99" spans="1:5" x14ac:dyDescent="0.3">
      <c r="A99" s="78"/>
      <c r="B99" s="79"/>
      <c r="C99" s="79">
        <f>B99*1.7</f>
        <v>0</v>
      </c>
      <c r="D99" s="79"/>
      <c r="E99" s="80"/>
    </row>
    <row r="100" spans="1:5" x14ac:dyDescent="0.3">
      <c r="A100" s="78"/>
      <c r="B100" s="79"/>
      <c r="C100" s="79">
        <f>B100*1.6</f>
        <v>0</v>
      </c>
      <c r="D100" s="79"/>
      <c r="E100" s="80"/>
    </row>
    <row r="101" spans="1:5" x14ac:dyDescent="0.3">
      <c r="A101" s="78"/>
      <c r="B101" s="79"/>
      <c r="C101" s="79">
        <f>B101*1.5</f>
        <v>0</v>
      </c>
      <c r="D101" s="79"/>
      <c r="E101" s="80"/>
    </row>
    <row r="102" spans="1:5" x14ac:dyDescent="0.3">
      <c r="A102" s="116"/>
      <c r="B102" s="117"/>
      <c r="C102" s="117">
        <f>B102*1.7</f>
        <v>0</v>
      </c>
      <c r="D102" s="117"/>
      <c r="E102" s="118"/>
    </row>
    <row r="103" spans="1:5" x14ac:dyDescent="0.3">
      <c r="A103" s="28"/>
      <c r="B103" s="29"/>
      <c r="C103" s="29">
        <f>B103*1.7</f>
        <v>0</v>
      </c>
      <c r="D103" s="29"/>
      <c r="E103" s="30"/>
    </row>
    <row r="104" spans="1:5" x14ac:dyDescent="0.3">
      <c r="A104" s="109"/>
      <c r="B104" s="110"/>
      <c r="C104" s="110">
        <f>B104*1.6</f>
        <v>0</v>
      </c>
      <c r="D104" s="110"/>
      <c r="E104" s="111"/>
    </row>
    <row r="105" spans="1:5" x14ac:dyDescent="0.3">
      <c r="A105" s="109"/>
      <c r="B105" s="110"/>
      <c r="C105" s="110">
        <f>B105*1.5</f>
        <v>0</v>
      </c>
      <c r="D105" s="110"/>
      <c r="E105" s="111"/>
    </row>
    <row r="106" spans="1:5" x14ac:dyDescent="0.3">
      <c r="A106" s="109"/>
      <c r="B106" s="110"/>
      <c r="C106" s="110">
        <f>B106*1.7</f>
        <v>0</v>
      </c>
      <c r="D106" s="110"/>
      <c r="E106" s="111"/>
    </row>
    <row r="107" spans="1:5" x14ac:dyDescent="0.3">
      <c r="A107" s="109"/>
      <c r="B107" s="110"/>
      <c r="C107" s="110">
        <f>B107*1.4</f>
        <v>0</v>
      </c>
      <c r="D107" s="110"/>
      <c r="E107" s="111"/>
    </row>
    <row r="108" spans="1:5" x14ac:dyDescent="0.3">
      <c r="A108" s="109"/>
      <c r="B108" s="110"/>
      <c r="C108" s="110">
        <f>B108*1.4</f>
        <v>0</v>
      </c>
      <c r="D108" s="110"/>
      <c r="E108" s="111"/>
    </row>
    <row r="109" spans="1:5" x14ac:dyDescent="0.3">
      <c r="A109" s="78"/>
      <c r="B109" s="79"/>
      <c r="C109" s="79">
        <f>B109*1.7</f>
        <v>0</v>
      </c>
      <c r="D109" s="79"/>
      <c r="E109" s="80"/>
    </row>
    <row r="110" spans="1:5" x14ac:dyDescent="0.3">
      <c r="A110" s="78"/>
      <c r="B110" s="79"/>
      <c r="C110" s="79">
        <f>B110*1.6</f>
        <v>0</v>
      </c>
      <c r="D110" s="79"/>
      <c r="E110" s="80"/>
    </row>
    <row r="111" spans="1:5" x14ac:dyDescent="0.3">
      <c r="A111" s="78"/>
      <c r="B111" s="79"/>
      <c r="C111" s="79">
        <f>B111*1.5</f>
        <v>0</v>
      </c>
      <c r="D111" s="79"/>
      <c r="E111" s="80"/>
    </row>
    <row r="112" spans="1:5" x14ac:dyDescent="0.3">
      <c r="A112" s="78"/>
      <c r="B112" s="79"/>
      <c r="C112" s="79">
        <f>B112*1.4</f>
        <v>0</v>
      </c>
      <c r="D112" s="79"/>
      <c r="E112" s="80"/>
    </row>
    <row r="113" spans="1:5" x14ac:dyDescent="0.3">
      <c r="A113" s="45"/>
      <c r="B113" s="46"/>
      <c r="C113" s="46">
        <f>B113*1.5</f>
        <v>0</v>
      </c>
      <c r="D113" s="46"/>
      <c r="E113" s="47"/>
    </row>
    <row r="114" spans="1:5" x14ac:dyDescent="0.3">
      <c r="A114" s="45"/>
      <c r="B114" s="46"/>
      <c r="C114" s="46">
        <f>B114*1.7</f>
        <v>0</v>
      </c>
      <c r="D114" s="46"/>
      <c r="E114" s="47"/>
    </row>
    <row r="115" spans="1:5" x14ac:dyDescent="0.3">
      <c r="A115" s="45"/>
      <c r="B115" s="46"/>
      <c r="C115" s="46">
        <f>B115*1.6</f>
        <v>0</v>
      </c>
      <c r="D115" s="46"/>
      <c r="E115" s="47"/>
    </row>
    <row r="116" spans="1:5" x14ac:dyDescent="0.3">
      <c r="A116" s="28"/>
      <c r="B116" s="29"/>
      <c r="C116" s="29">
        <f>B116*1.5</f>
        <v>0</v>
      </c>
      <c r="D116" s="29"/>
      <c r="E116" s="30"/>
    </row>
    <row r="117" spans="1:5" x14ac:dyDescent="0.3">
      <c r="A117" s="25"/>
      <c r="B117" s="26"/>
      <c r="C117" s="26">
        <f>B117*1.6</f>
        <v>0</v>
      </c>
      <c r="D117" s="26"/>
      <c r="E117" s="27"/>
    </row>
    <row r="118" spans="1:5" x14ac:dyDescent="0.3">
      <c r="A118" s="28"/>
      <c r="B118" s="29"/>
      <c r="C118" s="29">
        <f>B118*1.5</f>
        <v>0</v>
      </c>
      <c r="D118" s="29"/>
      <c r="E118" s="30"/>
    </row>
    <row r="119" spans="1:5" x14ac:dyDescent="0.3">
      <c r="A119" s="28"/>
      <c r="B119" s="29"/>
      <c r="C119" s="29">
        <f>B119*1.4</f>
        <v>0</v>
      </c>
      <c r="D119" s="29"/>
      <c r="E119" s="30"/>
    </row>
    <row r="120" spans="1:5" x14ac:dyDescent="0.3">
      <c r="A120" s="61"/>
      <c r="B120" s="62"/>
      <c r="C120" s="62">
        <f>B120*1.4</f>
        <v>0</v>
      </c>
      <c r="D120" s="62"/>
      <c r="E120" s="63"/>
    </row>
    <row r="121" spans="1:5" x14ac:dyDescent="0.3">
      <c r="A121" s="42"/>
      <c r="B121" s="43"/>
      <c r="C121" s="43">
        <f>B121*1.6</f>
        <v>0</v>
      </c>
      <c r="D121" s="43"/>
      <c r="E121" s="44"/>
    </row>
    <row r="122" spans="1:5" x14ac:dyDescent="0.3">
      <c r="A122" s="61"/>
      <c r="B122" s="62"/>
      <c r="C122" s="62">
        <f>B122*1.5</f>
        <v>0</v>
      </c>
      <c r="D122" s="62"/>
      <c r="E122" s="63"/>
    </row>
    <row r="123" spans="1:5" x14ac:dyDescent="0.3">
      <c r="A123" s="61"/>
      <c r="B123" s="62"/>
      <c r="C123" s="62">
        <f>B123*1.7</f>
        <v>0</v>
      </c>
      <c r="D123" s="62"/>
      <c r="E123" s="63"/>
    </row>
    <row r="124" spans="1:5" x14ac:dyDescent="0.3">
      <c r="A124" s="28"/>
      <c r="B124" s="29"/>
      <c r="C124" s="29">
        <f>B124*1.4</f>
        <v>0</v>
      </c>
      <c r="D124" s="29"/>
      <c r="E124" s="30"/>
    </row>
    <row r="125" spans="1:5" x14ac:dyDescent="0.3">
      <c r="A125" s="28"/>
      <c r="B125" s="29"/>
      <c r="C125" s="29">
        <f>B125*1.6</f>
        <v>0</v>
      </c>
      <c r="D125" s="29"/>
      <c r="E125" s="30"/>
    </row>
    <row r="126" spans="1:5" x14ac:dyDescent="0.3">
      <c r="A126" s="28"/>
      <c r="B126" s="29"/>
      <c r="C126" s="29">
        <f>B126*1.5</f>
        <v>0</v>
      </c>
      <c r="D126" s="29"/>
      <c r="E126" s="30"/>
    </row>
    <row r="127" spans="1:5" x14ac:dyDescent="0.3">
      <c r="A127" s="28"/>
      <c r="B127" s="29"/>
      <c r="C127" s="29">
        <f>B127*1.7</f>
        <v>0</v>
      </c>
      <c r="D127" s="29"/>
      <c r="E127" s="30"/>
    </row>
    <row r="128" spans="1:5" x14ac:dyDescent="0.3">
      <c r="A128" s="25"/>
      <c r="B128" s="26"/>
      <c r="C128" s="26">
        <f>B128*1.6</f>
        <v>0</v>
      </c>
      <c r="D128" s="26"/>
      <c r="E128" s="27"/>
    </row>
    <row r="129" spans="1:5" x14ac:dyDescent="0.3">
      <c r="A129" s="25"/>
      <c r="B129" s="26"/>
      <c r="C129" s="26">
        <f>B129*1.5</f>
        <v>0</v>
      </c>
      <c r="D129" s="26"/>
      <c r="E129" s="27"/>
    </row>
    <row r="130" spans="1:5" x14ac:dyDescent="0.3">
      <c r="A130" s="78"/>
      <c r="B130" s="79"/>
      <c r="C130" s="79">
        <f>B130*1.7</f>
        <v>0</v>
      </c>
      <c r="D130" s="79"/>
      <c r="E130" s="80"/>
    </row>
    <row r="131" spans="1:5" x14ac:dyDescent="0.3">
      <c r="A131" s="58"/>
      <c r="B131" s="59"/>
      <c r="C131" s="59">
        <f>B131*1.6</f>
        <v>0</v>
      </c>
      <c r="D131" s="59"/>
      <c r="E131" s="60"/>
    </row>
    <row r="132" spans="1:5" x14ac:dyDescent="0.3">
      <c r="A132" s="78"/>
      <c r="B132" s="79"/>
      <c r="C132" s="79">
        <f>B132*1.5</f>
        <v>0</v>
      </c>
      <c r="D132" s="79"/>
      <c r="E132" s="80"/>
    </row>
    <row r="133" spans="1:5" x14ac:dyDescent="0.3">
      <c r="A133" s="58"/>
      <c r="B133" s="59"/>
      <c r="C133" s="59">
        <f>B133*1.4</f>
        <v>0</v>
      </c>
      <c r="D133" s="59"/>
      <c r="E133" s="60"/>
    </row>
    <row r="134" spans="1:5" x14ac:dyDescent="0.3">
      <c r="A134" s="28"/>
      <c r="B134" s="29"/>
      <c r="C134" s="29">
        <f>B134*1.7</f>
        <v>0</v>
      </c>
      <c r="D134" s="29"/>
      <c r="E134" s="30"/>
    </row>
    <row r="135" spans="1:5" x14ac:dyDescent="0.3">
      <c r="A135" s="45"/>
      <c r="B135" s="46"/>
      <c r="C135" s="46">
        <f>B135*1.8</f>
        <v>0</v>
      </c>
      <c r="D135" s="46"/>
      <c r="E135" s="47"/>
    </row>
    <row r="136" spans="1:5" x14ac:dyDescent="0.3">
      <c r="A136" s="28"/>
      <c r="B136" s="29"/>
      <c r="C136" s="29">
        <f>B136*1.6</f>
        <v>0</v>
      </c>
      <c r="D136" s="29"/>
      <c r="E136" s="30"/>
    </row>
    <row r="137" spans="1:5" x14ac:dyDescent="0.3">
      <c r="A137" s="25"/>
      <c r="B137" s="26"/>
      <c r="C137" s="26">
        <f t="shared" ref="C137:C151" si="0">B137*1.5</f>
        <v>0</v>
      </c>
      <c r="D137" s="26"/>
      <c r="E137" s="27"/>
    </row>
    <row r="138" spans="1:5" x14ac:dyDescent="0.3">
      <c r="A138" s="25"/>
      <c r="B138" s="26"/>
      <c r="C138" s="26">
        <f t="shared" si="0"/>
        <v>0</v>
      </c>
      <c r="D138" s="26"/>
      <c r="E138" s="27"/>
    </row>
    <row r="139" spans="1:5" x14ac:dyDescent="0.3">
      <c r="A139" s="25"/>
      <c r="B139" s="26"/>
      <c r="C139" s="26">
        <f t="shared" si="0"/>
        <v>0</v>
      </c>
      <c r="D139" s="26"/>
      <c r="E139" s="27"/>
    </row>
    <row r="140" spans="1:5" x14ac:dyDescent="0.3">
      <c r="A140" s="25"/>
      <c r="B140" s="26"/>
      <c r="C140" s="26">
        <f t="shared" si="0"/>
        <v>0</v>
      </c>
      <c r="D140" s="26"/>
      <c r="E140" s="27"/>
    </row>
    <row r="141" spans="1:5" x14ac:dyDescent="0.3">
      <c r="A141" s="25"/>
      <c r="B141" s="26"/>
      <c r="C141" s="26">
        <f t="shared" si="0"/>
        <v>0</v>
      </c>
      <c r="D141" s="26"/>
      <c r="E141" s="27"/>
    </row>
    <row r="142" spans="1:5" x14ac:dyDescent="0.3">
      <c r="A142" s="25"/>
      <c r="B142" s="26"/>
      <c r="C142" s="26">
        <f t="shared" si="0"/>
        <v>0</v>
      </c>
      <c r="D142" s="26"/>
      <c r="E142" s="27"/>
    </row>
    <row r="143" spans="1:5" x14ac:dyDescent="0.3">
      <c r="A143" s="25"/>
      <c r="B143" s="26"/>
      <c r="C143" s="26">
        <f t="shared" si="0"/>
        <v>0</v>
      </c>
      <c r="D143" s="26"/>
      <c r="E143" s="27"/>
    </row>
    <row r="144" spans="1:5" x14ac:dyDescent="0.3">
      <c r="A144" s="25"/>
      <c r="B144" s="26"/>
      <c r="C144" s="26">
        <f t="shared" si="0"/>
        <v>0</v>
      </c>
      <c r="D144" s="26"/>
      <c r="E144" s="27"/>
    </row>
    <row r="145" spans="1:5" x14ac:dyDescent="0.3">
      <c r="A145" s="25"/>
      <c r="B145" s="26"/>
      <c r="C145" s="26">
        <f t="shared" si="0"/>
        <v>0</v>
      </c>
      <c r="D145" s="26"/>
      <c r="E145" s="27"/>
    </row>
    <row r="146" spans="1:5" x14ac:dyDescent="0.3">
      <c r="A146" s="25"/>
      <c r="B146" s="26"/>
      <c r="C146" s="26">
        <f t="shared" si="0"/>
        <v>0</v>
      </c>
      <c r="D146" s="26"/>
      <c r="E146" s="27"/>
    </row>
    <row r="147" spans="1:5" x14ac:dyDescent="0.3">
      <c r="A147" s="25"/>
      <c r="B147" s="26"/>
      <c r="C147" s="26">
        <f t="shared" si="0"/>
        <v>0</v>
      </c>
      <c r="D147" s="26"/>
      <c r="E147" s="27"/>
    </row>
    <row r="148" spans="1:5" x14ac:dyDescent="0.3">
      <c r="A148" s="25"/>
      <c r="B148" s="26"/>
      <c r="C148" s="26">
        <f t="shared" si="0"/>
        <v>0</v>
      </c>
      <c r="D148" s="26"/>
      <c r="E148" s="27"/>
    </row>
    <row r="149" spans="1:5" x14ac:dyDescent="0.3">
      <c r="A149" s="25"/>
      <c r="B149" s="26"/>
      <c r="C149" s="26">
        <f t="shared" si="0"/>
        <v>0</v>
      </c>
      <c r="D149" s="26"/>
      <c r="E149" s="27"/>
    </row>
    <row r="150" spans="1:5" x14ac:dyDescent="0.3">
      <c r="A150" s="25"/>
      <c r="B150" s="26"/>
      <c r="C150" s="26">
        <f t="shared" si="0"/>
        <v>0</v>
      </c>
      <c r="D150" s="26"/>
      <c r="E150" s="27"/>
    </row>
    <row r="151" spans="1:5" x14ac:dyDescent="0.3">
      <c r="A151" s="25"/>
      <c r="B151" s="26"/>
      <c r="C151" s="26">
        <f t="shared" si="0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47B6-1A4E-419E-9DF3-1C2F294DC8B2}">
  <sheetPr codeName="Hoja19"/>
  <dimension ref="A1:F151"/>
  <sheetViews>
    <sheetView workbookViewId="0">
      <selection activeCell="A2" sqref="A2:A150 D2:D150"/>
    </sheetView>
  </sheetViews>
  <sheetFormatPr baseColWidth="10" defaultRowHeight="14.4" x14ac:dyDescent="0.3"/>
  <cols>
    <col min="1" max="1" width="75.5546875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t="s">
        <v>1124</v>
      </c>
      <c r="B2" s="3">
        <v>870</v>
      </c>
      <c r="C2" s="3">
        <f>B2*1.7</f>
        <v>1479</v>
      </c>
      <c r="D2" s="3">
        <v>1600</v>
      </c>
      <c r="E2" s="130"/>
    </row>
    <row r="3" spans="1:5" x14ac:dyDescent="0.3">
      <c r="A3" t="s">
        <v>132</v>
      </c>
      <c r="B3" s="3">
        <v>1750</v>
      </c>
      <c r="C3" s="3">
        <f>B3*1.6</f>
        <v>2800</v>
      </c>
      <c r="D3" s="3">
        <v>2800</v>
      </c>
      <c r="E3" s="27"/>
    </row>
    <row r="4" spans="1:5" x14ac:dyDescent="0.3">
      <c r="A4" t="s">
        <v>133</v>
      </c>
      <c r="B4" s="3">
        <v>1912</v>
      </c>
      <c r="C4" s="3">
        <f>B4*1.5</f>
        <v>2868</v>
      </c>
      <c r="D4" s="3">
        <v>2800</v>
      </c>
      <c r="E4" s="27"/>
    </row>
    <row r="5" spans="1:5" x14ac:dyDescent="0.3">
      <c r="A5" t="s">
        <v>595</v>
      </c>
      <c r="B5" s="3">
        <v>2850</v>
      </c>
      <c r="C5" s="3">
        <f>B5*1.65</f>
        <v>4702.5</v>
      </c>
      <c r="D5" s="3">
        <v>4700</v>
      </c>
      <c r="E5" s="130"/>
    </row>
    <row r="6" spans="1:5" x14ac:dyDescent="0.3">
      <c r="A6" s="71" t="s">
        <v>534</v>
      </c>
      <c r="B6" s="72">
        <v>1150</v>
      </c>
      <c r="C6" s="72">
        <f>B6*1.6</f>
        <v>1840</v>
      </c>
      <c r="D6" s="72">
        <v>1900</v>
      </c>
      <c r="E6" s="130"/>
    </row>
    <row r="7" spans="1:5" x14ac:dyDescent="0.3">
      <c r="A7" s="71" t="s">
        <v>533</v>
      </c>
      <c r="B7" s="72">
        <v>1350</v>
      </c>
      <c r="C7" s="72">
        <f>B7*1.6</f>
        <v>2160</v>
      </c>
      <c r="D7" s="72">
        <v>2000</v>
      </c>
      <c r="E7" s="130"/>
    </row>
    <row r="8" spans="1:5" x14ac:dyDescent="0.3">
      <c r="A8" s="54" t="s">
        <v>569</v>
      </c>
      <c r="B8" s="55">
        <v>2900</v>
      </c>
      <c r="C8" s="55">
        <f>B8*1.4</f>
        <v>4059.9999999999995</v>
      </c>
      <c r="D8" s="55">
        <v>4000</v>
      </c>
      <c r="E8" s="130"/>
    </row>
    <row r="9" spans="1:5" x14ac:dyDescent="0.3">
      <c r="A9" s="71" t="s">
        <v>535</v>
      </c>
      <c r="B9" s="72">
        <v>2550</v>
      </c>
      <c r="C9" s="72">
        <f>B9*1.5</f>
        <v>3825</v>
      </c>
      <c r="D9" s="72">
        <v>3800</v>
      </c>
      <c r="E9" s="130"/>
    </row>
    <row r="10" spans="1:5" x14ac:dyDescent="0.3">
      <c r="A10" s="54" t="s">
        <v>570</v>
      </c>
      <c r="B10" s="55">
        <v>3400</v>
      </c>
      <c r="C10" s="55">
        <f>B10*1.4</f>
        <v>4760</v>
      </c>
      <c r="D10" s="55">
        <v>4500</v>
      </c>
      <c r="E10" s="130">
        <v>1600</v>
      </c>
    </row>
    <row r="11" spans="1:5" x14ac:dyDescent="0.3">
      <c r="A11" s="71" t="s">
        <v>568</v>
      </c>
      <c r="B11" s="72">
        <v>2300</v>
      </c>
      <c r="C11" s="72">
        <f>B11*1.4</f>
        <v>3220</v>
      </c>
      <c r="D11" s="72">
        <v>3200</v>
      </c>
      <c r="E11" s="130"/>
    </row>
    <row r="12" spans="1:5" x14ac:dyDescent="0.3">
      <c r="A12" s="54" t="s">
        <v>536</v>
      </c>
      <c r="B12" s="55">
        <v>3400</v>
      </c>
      <c r="C12" s="55">
        <f>B12*1.35</f>
        <v>4590</v>
      </c>
      <c r="D12" s="55">
        <v>4600</v>
      </c>
      <c r="E12" s="130"/>
    </row>
    <row r="13" spans="1:5" x14ac:dyDescent="0.3">
      <c r="A13" s="54" t="s">
        <v>329</v>
      </c>
      <c r="B13" s="55">
        <v>2320</v>
      </c>
      <c r="C13" s="55">
        <f>B13*1.4</f>
        <v>3248</v>
      </c>
      <c r="D13" s="55">
        <v>2900</v>
      </c>
      <c r="E13" s="143"/>
    </row>
    <row r="14" spans="1:5" x14ac:dyDescent="0.3">
      <c r="A14" t="s">
        <v>330</v>
      </c>
      <c r="B14" s="3">
        <v>1240</v>
      </c>
      <c r="C14" s="3">
        <f>B14*1.6</f>
        <v>1984</v>
      </c>
      <c r="D14" s="3">
        <v>1900</v>
      </c>
      <c r="E14" s="130"/>
    </row>
    <row r="15" spans="1:5" x14ac:dyDescent="0.3">
      <c r="A15" s="34" t="s">
        <v>1344</v>
      </c>
      <c r="B15" s="35">
        <v>1800</v>
      </c>
      <c r="C15" s="35">
        <f>B15*1.5</f>
        <v>2700</v>
      </c>
      <c r="D15" s="35">
        <v>2700</v>
      </c>
      <c r="E15" s="146"/>
    </row>
    <row r="16" spans="1:5" x14ac:dyDescent="0.3">
      <c r="A16" s="54" t="s">
        <v>1343</v>
      </c>
      <c r="B16" s="55">
        <v>1800</v>
      </c>
      <c r="C16" s="55">
        <f>B16*1.5</f>
        <v>2700</v>
      </c>
      <c r="D16" s="55">
        <v>2700</v>
      </c>
      <c r="E16" s="130"/>
    </row>
    <row r="17" spans="1:5" x14ac:dyDescent="0.3">
      <c r="A17" s="6" t="s">
        <v>1423</v>
      </c>
      <c r="B17" s="7">
        <v>1400</v>
      </c>
      <c r="C17" s="7">
        <f>B17*1.6</f>
        <v>2240</v>
      </c>
      <c r="D17" s="7">
        <v>2200</v>
      </c>
      <c r="E17" s="149"/>
    </row>
    <row r="18" spans="1:5" x14ac:dyDescent="0.3">
      <c r="A18" s="201" t="s">
        <v>1303</v>
      </c>
      <c r="B18" s="202">
        <v>750</v>
      </c>
      <c r="C18" s="202">
        <f>B18*1.7</f>
        <v>1275</v>
      </c>
      <c r="D18" s="202">
        <v>1300</v>
      </c>
      <c r="E18" s="30"/>
    </row>
    <row r="19" spans="1:5" x14ac:dyDescent="0.3">
      <c r="A19" s="13" t="s">
        <v>1304</v>
      </c>
      <c r="B19" s="204">
        <v>930</v>
      </c>
      <c r="C19" s="204">
        <f>B19*1.6</f>
        <v>1488</v>
      </c>
      <c r="D19" s="204">
        <v>1500</v>
      </c>
      <c r="E19" s="114"/>
    </row>
    <row r="20" spans="1:5" x14ac:dyDescent="0.3">
      <c r="A20" s="201" t="s">
        <v>1305</v>
      </c>
      <c r="B20" s="202">
        <v>1160</v>
      </c>
      <c r="C20" s="202">
        <f>B20*1.6</f>
        <v>1856</v>
      </c>
      <c r="D20" s="202">
        <v>1900</v>
      </c>
      <c r="E20" s="30"/>
    </row>
    <row r="21" spans="1:5" x14ac:dyDescent="0.3">
      <c r="A21" s="34" t="s">
        <v>1310</v>
      </c>
      <c r="B21" s="35">
        <v>1150</v>
      </c>
      <c r="C21" s="35">
        <f>B21*1.6</f>
        <v>1840</v>
      </c>
      <c r="D21" s="35">
        <v>1900</v>
      </c>
      <c r="E21" s="80"/>
    </row>
    <row r="22" spans="1:5" x14ac:dyDescent="0.3">
      <c r="A22" s="13" t="s">
        <v>1306</v>
      </c>
      <c r="B22" s="204">
        <v>1050</v>
      </c>
      <c r="C22" s="204">
        <f>B22*1.7</f>
        <v>1785</v>
      </c>
      <c r="D22" s="204">
        <v>1800</v>
      </c>
      <c r="E22" s="205"/>
    </row>
    <row r="23" spans="1:5" x14ac:dyDescent="0.3">
      <c r="A23" s="201" t="s">
        <v>1307</v>
      </c>
      <c r="B23" s="202">
        <v>550</v>
      </c>
      <c r="C23" s="202">
        <f>B23*1.7</f>
        <v>935</v>
      </c>
      <c r="D23" s="202">
        <v>900</v>
      </c>
      <c r="E23" s="203"/>
    </row>
    <row r="24" spans="1:5" x14ac:dyDescent="0.3">
      <c r="A24" s="13" t="s">
        <v>1308</v>
      </c>
      <c r="B24" s="204">
        <v>900</v>
      </c>
      <c r="C24" s="204">
        <f>B24*1.7</f>
        <v>1530</v>
      </c>
      <c r="D24" s="204">
        <v>1500</v>
      </c>
      <c r="E24" s="205"/>
    </row>
    <row r="25" spans="1:5" x14ac:dyDescent="0.3">
      <c r="A25" s="201" t="s">
        <v>1309</v>
      </c>
      <c r="B25" s="202">
        <v>918</v>
      </c>
      <c r="C25" s="202">
        <f>B25*1.7</f>
        <v>1560.6</v>
      </c>
      <c r="D25" s="202">
        <v>1600</v>
      </c>
      <c r="E25" s="203"/>
    </row>
    <row r="26" spans="1:5" x14ac:dyDescent="0.3">
      <c r="A26" t="s">
        <v>511</v>
      </c>
      <c r="B26" s="3">
        <v>1165</v>
      </c>
      <c r="C26" s="3">
        <f>B26*1.6</f>
        <v>1864</v>
      </c>
      <c r="D26" s="3">
        <v>1800</v>
      </c>
      <c r="E26" s="145"/>
    </row>
    <row r="27" spans="1:5" x14ac:dyDescent="0.3">
      <c r="A27" s="6" t="s">
        <v>62</v>
      </c>
      <c r="B27" s="6">
        <v>1800</v>
      </c>
      <c r="C27" s="7">
        <f>B27*1.8</f>
        <v>3240</v>
      </c>
      <c r="D27" s="7">
        <v>2700</v>
      </c>
      <c r="E27" s="149"/>
    </row>
    <row r="28" spans="1:5" x14ac:dyDescent="0.3">
      <c r="A28" t="s">
        <v>463</v>
      </c>
      <c r="B28" s="3">
        <v>5000</v>
      </c>
      <c r="C28" s="3">
        <f>B28*1.5</f>
        <v>7500</v>
      </c>
      <c r="D28" s="3">
        <v>6900</v>
      </c>
      <c r="E28" s="130"/>
    </row>
    <row r="29" spans="1:5" x14ac:dyDescent="0.3">
      <c r="A29" t="s">
        <v>464</v>
      </c>
      <c r="B29" s="3">
        <v>1933</v>
      </c>
      <c r="C29" s="3">
        <f>B29*1.6</f>
        <v>3092.8</v>
      </c>
      <c r="D29" s="3">
        <v>2900</v>
      </c>
      <c r="E29" s="130"/>
    </row>
    <row r="30" spans="1:5" x14ac:dyDescent="0.3">
      <c r="A30" s="6" t="s">
        <v>1325</v>
      </c>
      <c r="B30" s="7">
        <v>1700</v>
      </c>
      <c r="C30" s="7">
        <f>B30*1.6</f>
        <v>2720</v>
      </c>
      <c r="D30" s="7">
        <v>2800</v>
      </c>
      <c r="E30" s="149"/>
    </row>
    <row r="31" spans="1:5" x14ac:dyDescent="0.3">
      <c r="A31" s="54" t="s">
        <v>986</v>
      </c>
      <c r="B31" s="55">
        <v>1700</v>
      </c>
      <c r="C31" s="55">
        <f>B31*1.6</f>
        <v>2720</v>
      </c>
      <c r="D31" s="55">
        <v>2700</v>
      </c>
      <c r="E31" s="26"/>
    </row>
    <row r="32" spans="1:5" x14ac:dyDescent="0.3">
      <c r="A32" s="54" t="s">
        <v>590</v>
      </c>
      <c r="B32" s="55">
        <v>2150</v>
      </c>
      <c r="C32" s="55">
        <f>B32*1.6</f>
        <v>3440</v>
      </c>
      <c r="D32" s="55">
        <v>3400</v>
      </c>
      <c r="E32" s="145"/>
    </row>
    <row r="33" spans="1:6" x14ac:dyDescent="0.3">
      <c r="A33" s="54" t="s">
        <v>1014</v>
      </c>
      <c r="B33" s="55">
        <v>1850</v>
      </c>
      <c r="C33" s="55">
        <f>B33*1.6</f>
        <v>2960</v>
      </c>
      <c r="D33" s="55">
        <v>2900</v>
      </c>
      <c r="E33" s="55"/>
      <c r="F33" s="105"/>
    </row>
    <row r="34" spans="1:6" x14ac:dyDescent="0.3">
      <c r="A34" t="s">
        <v>1125</v>
      </c>
      <c r="B34" s="3">
        <v>1250</v>
      </c>
      <c r="C34" s="3">
        <f>B34*1.7</f>
        <v>2125</v>
      </c>
      <c r="D34" s="3">
        <v>2300</v>
      </c>
      <c r="E34" s="145"/>
      <c r="F34" s="105"/>
    </row>
    <row r="35" spans="1:6" x14ac:dyDescent="0.3">
      <c r="A35" s="71" t="s">
        <v>688</v>
      </c>
      <c r="B35" s="72">
        <v>2580</v>
      </c>
      <c r="C35" s="72">
        <f>B35*1.5</f>
        <v>3870</v>
      </c>
      <c r="D35" s="72">
        <v>3700</v>
      </c>
      <c r="E35" s="145"/>
      <c r="F35" s="93"/>
    </row>
    <row r="36" spans="1:6" x14ac:dyDescent="0.3">
      <c r="A36" t="s">
        <v>327</v>
      </c>
      <c r="B36" s="3">
        <v>1400</v>
      </c>
      <c r="C36" s="3">
        <f>B36*1.4</f>
        <v>1959.9999999999998</v>
      </c>
      <c r="D36" s="3">
        <v>1900</v>
      </c>
      <c r="E36" s="145"/>
      <c r="F36" s="93"/>
    </row>
    <row r="37" spans="1:6" x14ac:dyDescent="0.3">
      <c r="A37" s="148" t="s">
        <v>1299</v>
      </c>
      <c r="B37" s="149">
        <v>1630</v>
      </c>
      <c r="C37" s="149">
        <f>B37*1.6</f>
        <v>2608</v>
      </c>
      <c r="D37" s="149">
        <v>2600</v>
      </c>
      <c r="E37" s="149"/>
    </row>
    <row r="38" spans="1:6" x14ac:dyDescent="0.3">
      <c r="A38" s="148" t="s">
        <v>1300</v>
      </c>
      <c r="B38" s="149">
        <v>3780</v>
      </c>
      <c r="C38" s="149">
        <f>B38*1.3</f>
        <v>4914</v>
      </c>
      <c r="D38" s="149">
        <v>4900</v>
      </c>
      <c r="E38" s="149"/>
    </row>
    <row r="39" spans="1:6" x14ac:dyDescent="0.3">
      <c r="A39" s="25" t="s">
        <v>470</v>
      </c>
      <c r="B39" s="26">
        <v>2640</v>
      </c>
      <c r="C39" s="26">
        <f>B39*1.5</f>
        <v>3960</v>
      </c>
      <c r="D39" s="26">
        <v>3900</v>
      </c>
      <c r="E39" s="130"/>
    </row>
    <row r="40" spans="1:6" x14ac:dyDescent="0.3">
      <c r="A40" s="217" t="s">
        <v>204</v>
      </c>
      <c r="B40" s="218">
        <v>4383</v>
      </c>
      <c r="C40" s="149">
        <f>B40*1.5</f>
        <v>6574.5</v>
      </c>
      <c r="D40" s="218">
        <v>6600</v>
      </c>
      <c r="E40" s="218"/>
    </row>
    <row r="41" spans="1:6" x14ac:dyDescent="0.3">
      <c r="A41" s="171" t="s">
        <v>1294</v>
      </c>
      <c r="B41" s="146">
        <v>1800</v>
      </c>
      <c r="C41" s="146">
        <f>B41*1.6</f>
        <v>2880</v>
      </c>
      <c r="D41" s="146">
        <v>2800</v>
      </c>
      <c r="E41" s="80"/>
    </row>
    <row r="42" spans="1:6" x14ac:dyDescent="0.3">
      <c r="A42" s="171" t="s">
        <v>1295</v>
      </c>
      <c r="B42" s="146">
        <v>2200</v>
      </c>
      <c r="C42" s="146">
        <f>B42*1.6</f>
        <v>3520</v>
      </c>
      <c r="D42" s="146">
        <v>3400</v>
      </c>
      <c r="E42" s="80"/>
    </row>
    <row r="43" spans="1:6" x14ac:dyDescent="0.3">
      <c r="A43" s="171" t="s">
        <v>1296</v>
      </c>
      <c r="B43" s="146">
        <v>2650</v>
      </c>
      <c r="C43" s="146">
        <f>B43*1.5</f>
        <v>3975</v>
      </c>
      <c r="D43" s="146">
        <v>4000</v>
      </c>
      <c r="E43" s="80"/>
    </row>
    <row r="44" spans="1:6" x14ac:dyDescent="0.3">
      <c r="A44" s="78" t="s">
        <v>1292</v>
      </c>
      <c r="B44" s="79">
        <v>5600</v>
      </c>
      <c r="C44" s="79">
        <f>B44*1.5</f>
        <v>8400</v>
      </c>
      <c r="D44" s="79">
        <v>8400</v>
      </c>
      <c r="E44" s="80"/>
    </row>
    <row r="45" spans="1:6" x14ac:dyDescent="0.3">
      <c r="A45" s="171" t="s">
        <v>1297</v>
      </c>
      <c r="B45" s="146">
        <v>1800</v>
      </c>
      <c r="C45" s="146">
        <f>B45*1.5</f>
        <v>2700</v>
      </c>
      <c r="D45" s="146">
        <v>2800</v>
      </c>
      <c r="E45" s="80"/>
    </row>
    <row r="46" spans="1:6" x14ac:dyDescent="0.3">
      <c r="A46" s="25" t="s">
        <v>255</v>
      </c>
      <c r="B46" s="26">
        <v>1950</v>
      </c>
      <c r="C46" s="26">
        <f>B46*1.7</f>
        <v>3315</v>
      </c>
      <c r="D46" s="26">
        <v>3300</v>
      </c>
      <c r="E46" s="130"/>
    </row>
    <row r="47" spans="1:6" x14ac:dyDescent="0.3">
      <c r="A47" s="25" t="s">
        <v>252</v>
      </c>
      <c r="B47" s="26">
        <v>1100</v>
      </c>
      <c r="C47" s="26">
        <f>B47*1.6</f>
        <v>1760</v>
      </c>
      <c r="D47" s="26">
        <v>1700</v>
      </c>
      <c r="E47" s="130"/>
    </row>
    <row r="48" spans="1:6" x14ac:dyDescent="0.3">
      <c r="A48" t="s">
        <v>253</v>
      </c>
      <c r="B48" s="3">
        <v>1100</v>
      </c>
      <c r="C48" s="3">
        <f>B48*1.4</f>
        <v>1540</v>
      </c>
      <c r="D48" s="3">
        <v>1700</v>
      </c>
      <c r="E48" s="145"/>
    </row>
    <row r="49" spans="1:5" x14ac:dyDescent="0.3">
      <c r="A49" s="25" t="s">
        <v>254</v>
      </c>
      <c r="B49" s="26">
        <v>1700</v>
      </c>
      <c r="C49" s="26">
        <f>B49*1.6</f>
        <v>2720</v>
      </c>
      <c r="D49" s="26">
        <v>2800</v>
      </c>
      <c r="E49" s="130"/>
    </row>
    <row r="50" spans="1:5" x14ac:dyDescent="0.3">
      <c r="A50" s="25" t="s">
        <v>256</v>
      </c>
      <c r="B50" s="26">
        <v>900</v>
      </c>
      <c r="C50" s="26">
        <f>B50*1.7</f>
        <v>1530</v>
      </c>
      <c r="D50" s="26">
        <v>1600</v>
      </c>
      <c r="E50" s="130"/>
    </row>
    <row r="51" spans="1:5" x14ac:dyDescent="0.3">
      <c r="A51" s="25" t="s">
        <v>257</v>
      </c>
      <c r="B51" s="26">
        <v>1700</v>
      </c>
      <c r="C51" s="26">
        <f>B51*1.7</f>
        <v>2890</v>
      </c>
      <c r="D51" s="26">
        <v>2800</v>
      </c>
      <c r="E51" s="130"/>
    </row>
    <row r="52" spans="1:5" x14ac:dyDescent="0.3">
      <c r="A52" s="81" t="s">
        <v>1058</v>
      </c>
      <c r="B52" s="82">
        <v>1800</v>
      </c>
      <c r="C52" s="72">
        <f>B52*1.6</f>
        <v>2880</v>
      </c>
      <c r="D52" s="82">
        <v>3000</v>
      </c>
      <c r="E52" s="172"/>
    </row>
    <row r="53" spans="1:5" x14ac:dyDescent="0.3">
      <c r="A53" s="181" t="s">
        <v>1273</v>
      </c>
      <c r="B53" s="182">
        <v>2700</v>
      </c>
      <c r="C53" s="182">
        <f>B53*1.5</f>
        <v>4050</v>
      </c>
      <c r="D53" s="182">
        <v>3900</v>
      </c>
      <c r="E53" s="222"/>
    </row>
    <row r="54" spans="1:5" x14ac:dyDescent="0.3">
      <c r="A54" s="81" t="s">
        <v>1057</v>
      </c>
      <c r="B54" s="82">
        <v>2360</v>
      </c>
      <c r="C54" s="82">
        <f>B54*1.6</f>
        <v>3776</v>
      </c>
      <c r="D54" s="82">
        <v>3900</v>
      </c>
      <c r="E54" s="172"/>
    </row>
    <row r="55" spans="1:5" x14ac:dyDescent="0.3">
      <c r="A55" t="s">
        <v>1417</v>
      </c>
      <c r="B55" s="3">
        <v>1460</v>
      </c>
      <c r="C55" s="3">
        <f>B55*1.6</f>
        <v>2336</v>
      </c>
      <c r="D55" s="3">
        <v>2400</v>
      </c>
      <c r="E55" s="145"/>
    </row>
    <row r="56" spans="1:5" x14ac:dyDescent="0.3">
      <c r="A56" t="s">
        <v>987</v>
      </c>
      <c r="B56" s="3">
        <v>5630</v>
      </c>
      <c r="C56" s="3">
        <f>B56*1.5</f>
        <v>8445</v>
      </c>
      <c r="D56" s="3">
        <v>7900</v>
      </c>
      <c r="E56" s="145"/>
    </row>
    <row r="57" spans="1:5" x14ac:dyDescent="0.3">
      <c r="A57" t="s">
        <v>461</v>
      </c>
      <c r="B57" s="3">
        <v>2040</v>
      </c>
      <c r="C57" s="3">
        <f>B57*1.6</f>
        <v>3264</v>
      </c>
      <c r="D57" s="3">
        <v>3300</v>
      </c>
      <c r="E57" s="145"/>
    </row>
    <row r="58" spans="1:5" x14ac:dyDescent="0.3">
      <c r="A58" s="6" t="s">
        <v>1077</v>
      </c>
      <c r="B58" s="7">
        <v>1330</v>
      </c>
      <c r="C58" s="7">
        <f>B58*1.7</f>
        <v>2261</v>
      </c>
      <c r="D58" s="7">
        <v>2200</v>
      </c>
      <c r="E58" s="7"/>
    </row>
    <row r="59" spans="1:5" x14ac:dyDescent="0.3">
      <c r="A59" t="s">
        <v>1430</v>
      </c>
      <c r="B59" s="3">
        <v>3200</v>
      </c>
      <c r="C59" s="3">
        <f>B59*1.5</f>
        <v>4800</v>
      </c>
      <c r="D59" s="3">
        <v>4900</v>
      </c>
      <c r="E59" s="145"/>
    </row>
    <row r="60" spans="1:5" x14ac:dyDescent="0.3">
      <c r="A60" t="s">
        <v>1345</v>
      </c>
      <c r="B60" s="3">
        <v>3328</v>
      </c>
      <c r="C60" s="3">
        <f>B60*1.4</f>
        <v>4659.2</v>
      </c>
      <c r="D60" s="3">
        <v>4500</v>
      </c>
      <c r="E60" s="145"/>
    </row>
    <row r="61" spans="1:5" x14ac:dyDescent="0.3">
      <c r="A61" t="s">
        <v>476</v>
      </c>
      <c r="B61" s="3">
        <v>3100</v>
      </c>
      <c r="C61" s="3">
        <f>B61*1.3</f>
        <v>4030</v>
      </c>
      <c r="D61" s="3">
        <v>3900</v>
      </c>
      <c r="E61" s="145"/>
    </row>
    <row r="62" spans="1:5" x14ac:dyDescent="0.3">
      <c r="A62" t="s">
        <v>1000</v>
      </c>
      <c r="B62" s="3">
        <v>3030</v>
      </c>
      <c r="C62" s="3">
        <f>B62*1.4</f>
        <v>4242</v>
      </c>
      <c r="D62" s="3">
        <v>4300</v>
      </c>
      <c r="E62" s="145"/>
    </row>
    <row r="63" spans="1:5" x14ac:dyDescent="0.3">
      <c r="A63" s="54" t="s">
        <v>993</v>
      </c>
      <c r="B63" s="55">
        <v>2190</v>
      </c>
      <c r="C63" s="55">
        <f>B63*1.5</f>
        <v>3285</v>
      </c>
      <c r="D63" s="55">
        <v>3300</v>
      </c>
      <c r="E63" s="55"/>
    </row>
    <row r="64" spans="1:5" x14ac:dyDescent="0.3">
      <c r="A64" s="54" t="s">
        <v>992</v>
      </c>
      <c r="B64" s="55">
        <v>2000</v>
      </c>
      <c r="C64" s="55">
        <f>B64*1.5</f>
        <v>3000</v>
      </c>
      <c r="D64" s="55">
        <v>3300</v>
      </c>
      <c r="E64" s="55"/>
    </row>
    <row r="65" spans="1:5" x14ac:dyDescent="0.3">
      <c r="A65" s="54" t="s">
        <v>963</v>
      </c>
      <c r="B65" s="54">
        <v>2460</v>
      </c>
      <c r="C65" s="55">
        <f>B65*1.6</f>
        <v>3936</v>
      </c>
      <c r="D65" s="55">
        <v>3900</v>
      </c>
      <c r="E65" s="55"/>
    </row>
    <row r="66" spans="1:5" x14ac:dyDescent="0.3">
      <c r="A66" s="54" t="s">
        <v>991</v>
      </c>
      <c r="B66" s="55">
        <v>2000</v>
      </c>
      <c r="C66" s="55">
        <v>3000</v>
      </c>
      <c r="D66" s="55">
        <v>3300</v>
      </c>
      <c r="E66" s="55"/>
    </row>
    <row r="67" spans="1:5" x14ac:dyDescent="0.3">
      <c r="A67" s="142" t="s">
        <v>990</v>
      </c>
      <c r="B67" s="143">
        <v>2000</v>
      </c>
      <c r="C67" s="143">
        <f>B67*1.5</f>
        <v>3000</v>
      </c>
      <c r="D67" s="143">
        <v>3300</v>
      </c>
      <c r="E67" s="143"/>
    </row>
    <row r="68" spans="1:5" x14ac:dyDescent="0.3">
      <c r="A68" s="142" t="s">
        <v>989</v>
      </c>
      <c r="B68" s="143">
        <v>2000</v>
      </c>
      <c r="C68" s="143">
        <f>B68*1.5</f>
        <v>3000</v>
      </c>
      <c r="D68" s="143">
        <v>3300</v>
      </c>
      <c r="E68" s="143"/>
    </row>
    <row r="69" spans="1:5" x14ac:dyDescent="0.3">
      <c r="A69" s="148" t="s">
        <v>1147</v>
      </c>
      <c r="B69" s="148">
        <v>3600</v>
      </c>
      <c r="C69" s="149">
        <f>B69*1.6</f>
        <v>5760</v>
      </c>
      <c r="D69" s="149">
        <v>5900</v>
      </c>
      <c r="E69" s="149"/>
    </row>
    <row r="70" spans="1:5" x14ac:dyDescent="0.3">
      <c r="A70" s="178" t="s">
        <v>687</v>
      </c>
      <c r="B70" s="179">
        <v>3600</v>
      </c>
      <c r="C70" s="179">
        <f>B70*1.5</f>
        <v>5400</v>
      </c>
      <c r="D70" s="179">
        <v>5400</v>
      </c>
      <c r="E70" s="130"/>
    </row>
    <row r="71" spans="1:5" x14ac:dyDescent="0.3">
      <c r="A71" s="25" t="s">
        <v>1146</v>
      </c>
      <c r="B71" s="26">
        <v>4900</v>
      </c>
      <c r="C71" s="26">
        <f>B71*1.6</f>
        <v>7840</v>
      </c>
      <c r="D71" s="26">
        <v>7850</v>
      </c>
      <c r="E71" s="130"/>
    </row>
    <row r="72" spans="1:5" x14ac:dyDescent="0.3">
      <c r="A72" s="25" t="s">
        <v>1053</v>
      </c>
      <c r="B72" s="26">
        <v>2100</v>
      </c>
      <c r="C72" s="26">
        <f>B72*1.5</f>
        <v>3150</v>
      </c>
      <c r="D72" s="26">
        <v>3000</v>
      </c>
      <c r="E72" s="130"/>
    </row>
    <row r="73" spans="1:5" x14ac:dyDescent="0.3">
      <c r="A73" s="148" t="s">
        <v>1327</v>
      </c>
      <c r="B73" s="149">
        <v>1420</v>
      </c>
      <c r="C73" s="149">
        <f>B73*1.6</f>
        <v>2272</v>
      </c>
      <c r="D73" s="149">
        <v>2300</v>
      </c>
      <c r="E73" s="149"/>
    </row>
    <row r="74" spans="1:5" x14ac:dyDescent="0.3">
      <c r="A74" s="171" t="s">
        <v>1326</v>
      </c>
      <c r="B74" s="146">
        <v>2500</v>
      </c>
      <c r="C74" s="146">
        <f>B74*1.6</f>
        <v>4000</v>
      </c>
      <c r="D74" s="146">
        <v>3900</v>
      </c>
      <c r="E74" s="80"/>
    </row>
    <row r="75" spans="1:5" x14ac:dyDescent="0.3">
      <c r="A75" t="s">
        <v>1328</v>
      </c>
      <c r="B75" s="3">
        <v>2150</v>
      </c>
      <c r="C75" s="3">
        <f>B75*1.6</f>
        <v>3440</v>
      </c>
      <c r="D75" s="3">
        <v>3450</v>
      </c>
      <c r="E75" s="145"/>
    </row>
    <row r="76" spans="1:5" x14ac:dyDescent="0.3">
      <c r="A76" s="148" t="s">
        <v>502</v>
      </c>
      <c r="B76" s="148">
        <v>2273</v>
      </c>
      <c r="C76" s="149">
        <f>B76*1.5</f>
        <v>3409.5</v>
      </c>
      <c r="D76" s="149">
        <v>3400</v>
      </c>
      <c r="E76" s="149"/>
    </row>
    <row r="77" spans="1:5" x14ac:dyDescent="0.3">
      <c r="A77" s="148" t="s">
        <v>393</v>
      </c>
      <c r="B77" s="213">
        <v>2150</v>
      </c>
      <c r="C77" s="149">
        <f>B77*1.5</f>
        <v>3225</v>
      </c>
      <c r="D77" s="167">
        <v>3300</v>
      </c>
      <c r="E77" s="149"/>
    </row>
    <row r="78" spans="1:5" x14ac:dyDescent="0.3">
      <c r="A78" s="178" t="s">
        <v>504</v>
      </c>
      <c r="B78" s="178">
        <v>1850</v>
      </c>
      <c r="C78" s="179">
        <f>B78*1.6</f>
        <v>2960</v>
      </c>
      <c r="D78" s="179">
        <v>3200</v>
      </c>
      <c r="E78" s="179"/>
    </row>
    <row r="79" spans="1:5" x14ac:dyDescent="0.3">
      <c r="A79" s="178" t="s">
        <v>503</v>
      </c>
      <c r="B79" s="178">
        <v>2300</v>
      </c>
      <c r="C79" s="179">
        <f>B79*1.6</f>
        <v>3680</v>
      </c>
      <c r="D79" s="179">
        <v>3800</v>
      </c>
      <c r="E79" s="179"/>
    </row>
    <row r="80" spans="1:5" x14ac:dyDescent="0.3">
      <c r="A80" s="25" t="s">
        <v>460</v>
      </c>
      <c r="B80" s="26">
        <v>2375</v>
      </c>
      <c r="C80" s="26">
        <f>B80*1.6</f>
        <v>3800</v>
      </c>
      <c r="D80" s="26">
        <v>3800</v>
      </c>
      <c r="E80" s="130"/>
    </row>
    <row r="81" spans="1:5" x14ac:dyDescent="0.3">
      <c r="A81" s="34" t="s">
        <v>1071</v>
      </c>
      <c r="B81" s="35">
        <v>3200</v>
      </c>
      <c r="C81" s="35">
        <f>B81*1.6</f>
        <v>5120</v>
      </c>
      <c r="D81" s="35">
        <v>4900</v>
      </c>
      <c r="E81" s="35"/>
    </row>
    <row r="82" spans="1:5" x14ac:dyDescent="0.3">
      <c r="A82" s="170" t="s">
        <v>1075</v>
      </c>
      <c r="B82" s="144">
        <v>3130</v>
      </c>
      <c r="C82" s="144">
        <f>B82*1.3</f>
        <v>4069</v>
      </c>
      <c r="D82" s="144">
        <v>4000</v>
      </c>
      <c r="E82" s="144"/>
    </row>
    <row r="83" spans="1:5" x14ac:dyDescent="0.3">
      <c r="A83" s="78" t="s">
        <v>1074</v>
      </c>
      <c r="B83" s="79">
        <v>4230</v>
      </c>
      <c r="C83" s="79">
        <f>B83*1.6</f>
        <v>6768</v>
      </c>
      <c r="D83" s="79">
        <v>6700</v>
      </c>
      <c r="E83" s="80"/>
    </row>
    <row r="84" spans="1:5" x14ac:dyDescent="0.3">
      <c r="A84" s="170" t="s">
        <v>1072</v>
      </c>
      <c r="B84" s="144">
        <v>3231</v>
      </c>
      <c r="C84" s="144">
        <f>B84*1.6</f>
        <v>5169.6000000000004</v>
      </c>
      <c r="D84" s="144">
        <v>5200</v>
      </c>
      <c r="E84" s="41"/>
    </row>
    <row r="85" spans="1:5" x14ac:dyDescent="0.3">
      <c r="A85" s="171" t="s">
        <v>1076</v>
      </c>
      <c r="B85" s="146">
        <v>1950</v>
      </c>
      <c r="C85" s="146">
        <f>B85*1.7</f>
        <v>3315</v>
      </c>
      <c r="D85" s="146">
        <v>3300</v>
      </c>
      <c r="E85" s="80"/>
    </row>
    <row r="86" spans="1:5" x14ac:dyDescent="0.3">
      <c r="A86" s="170" t="s">
        <v>1092</v>
      </c>
      <c r="B86" s="144">
        <v>1770</v>
      </c>
      <c r="C86" s="144">
        <f>B86*1.7</f>
        <v>3009</v>
      </c>
      <c r="D86" s="144">
        <v>3000</v>
      </c>
      <c r="E86" s="41"/>
    </row>
    <row r="87" spans="1:5" x14ac:dyDescent="0.3">
      <c r="A87" s="171" t="s">
        <v>1298</v>
      </c>
      <c r="B87" s="146">
        <v>1200</v>
      </c>
      <c r="C87" s="146">
        <f>B87*1.7</f>
        <v>2040</v>
      </c>
      <c r="D87" s="146">
        <v>2000</v>
      </c>
      <c r="E87" s="80"/>
    </row>
    <row r="88" spans="1:5" x14ac:dyDescent="0.3">
      <c r="A88" s="34" t="s">
        <v>1070</v>
      </c>
      <c r="B88" s="35">
        <v>1615</v>
      </c>
      <c r="C88" s="35">
        <f>B88*1.7</f>
        <v>2745.5</v>
      </c>
      <c r="D88" s="35">
        <v>3000</v>
      </c>
      <c r="E88" s="35"/>
    </row>
    <row r="89" spans="1:5" x14ac:dyDescent="0.3">
      <c r="A89" s="170" t="s">
        <v>288</v>
      </c>
      <c r="B89" s="144">
        <v>2050</v>
      </c>
      <c r="C89" s="144">
        <f>B89*1.6</f>
        <v>3280</v>
      </c>
      <c r="D89" s="144">
        <v>2800</v>
      </c>
      <c r="E89" s="144"/>
    </row>
    <row r="90" spans="1:5" x14ac:dyDescent="0.3">
      <c r="A90" s="171" t="s">
        <v>1093</v>
      </c>
      <c r="B90" s="146">
        <v>1769</v>
      </c>
      <c r="C90" s="146">
        <f>B90*1.6</f>
        <v>2830.4</v>
      </c>
      <c r="D90" s="146">
        <v>2900</v>
      </c>
      <c r="E90" s="80"/>
    </row>
    <row r="91" spans="1:5" x14ac:dyDescent="0.3">
      <c r="A91" s="170" t="s">
        <v>1094</v>
      </c>
      <c r="B91" s="144">
        <v>2300</v>
      </c>
      <c r="C91" s="144">
        <f>B91*1.7</f>
        <v>3910</v>
      </c>
      <c r="D91" s="144">
        <v>3900</v>
      </c>
      <c r="E91" s="144"/>
    </row>
    <row r="92" spans="1:5" x14ac:dyDescent="0.3">
      <c r="A92" s="25" t="s">
        <v>1069</v>
      </c>
      <c r="B92" s="26">
        <v>1307</v>
      </c>
      <c r="C92" s="26">
        <f>B92*1.7</f>
        <v>2221.9</v>
      </c>
      <c r="D92" s="26">
        <v>2200</v>
      </c>
      <c r="E92" s="130"/>
    </row>
    <row r="93" spans="1:5" x14ac:dyDescent="0.3">
      <c r="A93" s="171" t="s">
        <v>1095</v>
      </c>
      <c r="B93" s="146">
        <v>4615</v>
      </c>
      <c r="C93" s="146">
        <f>B93*1.5</f>
        <v>6922.5</v>
      </c>
      <c r="D93" s="146">
        <v>6900</v>
      </c>
      <c r="E93" s="80"/>
    </row>
    <row r="94" spans="1:5" x14ac:dyDescent="0.3">
      <c r="A94" s="170" t="s">
        <v>1073</v>
      </c>
      <c r="B94" s="144">
        <v>3500</v>
      </c>
      <c r="C94" s="144">
        <f>B94*1.7</f>
        <v>5950</v>
      </c>
      <c r="D94" s="144">
        <v>5900</v>
      </c>
      <c r="E94" s="41"/>
    </row>
    <row r="95" spans="1:5" x14ac:dyDescent="0.3">
      <c r="A95" s="142" t="s">
        <v>1082</v>
      </c>
      <c r="B95" s="143">
        <v>2300</v>
      </c>
      <c r="C95" s="143">
        <f>B95*1.6</f>
        <v>3680</v>
      </c>
      <c r="D95" s="143">
        <v>3500</v>
      </c>
      <c r="E95" s="143"/>
    </row>
    <row r="96" spans="1:5" x14ac:dyDescent="0.3">
      <c r="A96" s="25" t="s">
        <v>912</v>
      </c>
      <c r="B96" s="26">
        <v>2300</v>
      </c>
      <c r="C96" s="26">
        <f>B96*1.4</f>
        <v>3220</v>
      </c>
      <c r="D96" s="26">
        <v>2900</v>
      </c>
      <c r="E96" s="130"/>
    </row>
    <row r="97" spans="1:5" x14ac:dyDescent="0.3">
      <c r="A97" s="153" t="s">
        <v>1351</v>
      </c>
      <c r="B97" s="154">
        <v>1900</v>
      </c>
      <c r="C97" s="154">
        <f>B97*1.6</f>
        <v>3040</v>
      </c>
      <c r="D97" s="154">
        <v>3100</v>
      </c>
      <c r="E97" s="154"/>
    </row>
    <row r="98" spans="1:5" x14ac:dyDescent="0.3">
      <c r="A98" s="153" t="s">
        <v>1352</v>
      </c>
      <c r="B98" s="154">
        <v>1874</v>
      </c>
      <c r="C98" s="154">
        <f>B98*1.5</f>
        <v>2811</v>
      </c>
      <c r="D98" s="154">
        <v>3100</v>
      </c>
      <c r="E98" s="154"/>
    </row>
    <row r="99" spans="1:5" x14ac:dyDescent="0.3">
      <c r="A99" s="25" t="s">
        <v>1301</v>
      </c>
      <c r="B99" s="26">
        <v>1833</v>
      </c>
      <c r="C99" s="26">
        <f>B99*1.6</f>
        <v>2932.8</v>
      </c>
      <c r="D99" s="26">
        <v>2900</v>
      </c>
      <c r="E99" s="130"/>
    </row>
    <row r="100" spans="1:5" x14ac:dyDescent="0.3">
      <c r="A100" t="s">
        <v>1302</v>
      </c>
      <c r="B100" s="3">
        <v>2000</v>
      </c>
      <c r="C100" s="3">
        <f t="shared" ref="C100:C105" si="0">B100*1.5</f>
        <v>3000</v>
      </c>
      <c r="D100" s="3">
        <v>3000</v>
      </c>
      <c r="E100" s="145"/>
    </row>
    <row r="101" spans="1:5" x14ac:dyDescent="0.3">
      <c r="A101" s="25"/>
      <c r="B101" s="26"/>
      <c r="C101" s="26">
        <f t="shared" si="0"/>
        <v>0</v>
      </c>
      <c r="D101" s="26"/>
      <c r="E101" s="130"/>
    </row>
    <row r="102" spans="1:5" x14ac:dyDescent="0.3">
      <c r="A102" s="25"/>
      <c r="B102" s="26"/>
      <c r="C102" s="26">
        <f t="shared" si="0"/>
        <v>0</v>
      </c>
      <c r="D102" s="26"/>
      <c r="E102" s="130"/>
    </row>
    <row r="103" spans="1:5" x14ac:dyDescent="0.3">
      <c r="A103" s="25"/>
      <c r="B103" s="26"/>
      <c r="C103" s="26">
        <f t="shared" si="0"/>
        <v>0</v>
      </c>
      <c r="D103" s="26"/>
      <c r="E103" s="130"/>
    </row>
    <row r="104" spans="1:5" x14ac:dyDescent="0.3">
      <c r="A104" s="25"/>
      <c r="B104" s="26"/>
      <c r="C104" s="26">
        <f t="shared" si="0"/>
        <v>0</v>
      </c>
      <c r="D104" s="26"/>
      <c r="E104" s="130"/>
    </row>
    <row r="105" spans="1:5" x14ac:dyDescent="0.3">
      <c r="A105" s="25"/>
      <c r="B105" s="26"/>
      <c r="C105" s="26">
        <f t="shared" si="0"/>
        <v>0</v>
      </c>
      <c r="D105" s="26"/>
      <c r="E105" s="130"/>
    </row>
    <row r="106" spans="1:5" x14ac:dyDescent="0.3">
      <c r="A106" s="25"/>
      <c r="B106" s="26"/>
      <c r="C106" s="26">
        <f>B106*1.6</f>
        <v>0</v>
      </c>
      <c r="D106" s="26"/>
      <c r="E106" s="130"/>
    </row>
    <row r="107" spans="1:5" x14ac:dyDescent="0.3">
      <c r="A107" s="25"/>
      <c r="B107" s="26"/>
      <c r="C107" s="26">
        <f>B107*1.7</f>
        <v>0</v>
      </c>
      <c r="D107" s="26"/>
      <c r="E107" s="130"/>
    </row>
    <row r="108" spans="1:5" x14ac:dyDescent="0.3">
      <c r="A108" s="25"/>
      <c r="B108" s="26"/>
      <c r="C108" s="26">
        <f>B108*1.4</f>
        <v>0</v>
      </c>
      <c r="D108" s="26"/>
      <c r="E108" s="130"/>
    </row>
    <row r="109" spans="1:5" x14ac:dyDescent="0.3">
      <c r="A109" s="25"/>
      <c r="B109" s="26"/>
      <c r="C109" s="26">
        <f>B109*1.5</f>
        <v>0</v>
      </c>
      <c r="D109" s="26"/>
      <c r="E109" s="130"/>
    </row>
    <row r="110" spans="1:5" x14ac:dyDescent="0.3">
      <c r="A110" s="25"/>
      <c r="B110" s="26"/>
      <c r="C110" s="26">
        <f>B110*1.4</f>
        <v>0</v>
      </c>
      <c r="D110" s="26"/>
      <c r="E110" s="130"/>
    </row>
    <row r="111" spans="1:5" x14ac:dyDescent="0.3">
      <c r="A111" s="25"/>
      <c r="B111" s="26"/>
      <c r="C111" s="26">
        <f>B111*1.5</f>
        <v>0</v>
      </c>
      <c r="D111" s="26"/>
      <c r="E111" s="26"/>
    </row>
    <row r="112" spans="1:5" x14ac:dyDescent="0.3">
      <c r="A112" s="25"/>
      <c r="B112" s="26"/>
      <c r="C112" s="26">
        <f>B112*1.7</f>
        <v>0</v>
      </c>
      <c r="D112" s="26"/>
      <c r="E112" s="130"/>
    </row>
    <row r="113" spans="1:5" x14ac:dyDescent="0.3">
      <c r="A113" s="25"/>
      <c r="B113" s="26"/>
      <c r="C113" s="26">
        <f>B113*1.6</f>
        <v>0</v>
      </c>
      <c r="D113" s="26"/>
      <c r="E113" s="130"/>
    </row>
    <row r="114" spans="1:5" x14ac:dyDescent="0.3">
      <c r="A114" s="25"/>
      <c r="B114" s="26"/>
      <c r="C114" s="26">
        <f>B114*1.4</f>
        <v>0</v>
      </c>
      <c r="D114" s="26"/>
      <c r="E114" s="130"/>
    </row>
    <row r="115" spans="1:5" x14ac:dyDescent="0.3">
      <c r="A115" s="25"/>
      <c r="B115" s="26"/>
      <c r="C115" s="26">
        <f>B115*1.7</f>
        <v>0</v>
      </c>
      <c r="D115" s="26"/>
      <c r="E115" s="130"/>
    </row>
    <row r="116" spans="1:5" x14ac:dyDescent="0.3">
      <c r="A116" s="25"/>
      <c r="B116" s="26"/>
      <c r="C116" s="26">
        <f>B116*1.6</f>
        <v>0</v>
      </c>
      <c r="D116" s="26"/>
      <c r="E116" s="130"/>
    </row>
    <row r="117" spans="1:5" x14ac:dyDescent="0.3">
      <c r="A117" s="25"/>
      <c r="B117" s="26"/>
      <c r="C117" s="26">
        <f>B117*1.5</f>
        <v>0</v>
      </c>
      <c r="D117" s="26"/>
      <c r="E117" s="130"/>
    </row>
    <row r="118" spans="1:5" x14ac:dyDescent="0.3">
      <c r="A118" s="25"/>
      <c r="B118" s="26"/>
      <c r="C118" s="26">
        <f>B118*1.5</f>
        <v>0</v>
      </c>
      <c r="D118" s="26"/>
      <c r="E118" s="130"/>
    </row>
    <row r="119" spans="1:5" x14ac:dyDescent="0.3">
      <c r="A119" s="25"/>
      <c r="B119" s="26"/>
      <c r="C119" s="26">
        <f>B119*1.4</f>
        <v>0</v>
      </c>
      <c r="D119" s="26"/>
      <c r="E119" s="130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1">B137*1.5</f>
        <v>0</v>
      </c>
      <c r="D137" s="26"/>
      <c r="E137" s="130"/>
    </row>
    <row r="138" spans="1:5" x14ac:dyDescent="0.3">
      <c r="A138" s="25"/>
      <c r="B138" s="26"/>
      <c r="C138" s="26">
        <f t="shared" si="1"/>
        <v>0</v>
      </c>
      <c r="D138" s="26"/>
      <c r="E138" s="130"/>
    </row>
    <row r="139" spans="1:5" x14ac:dyDescent="0.3">
      <c r="A139" s="25"/>
      <c r="B139" s="26"/>
      <c r="C139" s="26">
        <f t="shared" si="1"/>
        <v>0</v>
      </c>
      <c r="D139" s="26"/>
      <c r="E139" s="130"/>
    </row>
    <row r="140" spans="1:5" x14ac:dyDescent="0.3">
      <c r="A140" s="25"/>
      <c r="B140" s="26"/>
      <c r="C140" s="26">
        <f t="shared" si="1"/>
        <v>0</v>
      </c>
      <c r="D140" s="26"/>
      <c r="E140" s="130"/>
    </row>
    <row r="141" spans="1:5" x14ac:dyDescent="0.3">
      <c r="A141" s="25"/>
      <c r="B141" s="26"/>
      <c r="C141" s="26">
        <f t="shared" si="1"/>
        <v>0</v>
      </c>
      <c r="D141" s="26"/>
      <c r="E141" s="130"/>
    </row>
    <row r="142" spans="1:5" x14ac:dyDescent="0.3">
      <c r="A142" s="25"/>
      <c r="B142" s="26"/>
      <c r="C142" s="26">
        <f t="shared" si="1"/>
        <v>0</v>
      </c>
      <c r="D142" s="26"/>
      <c r="E142" s="130"/>
    </row>
    <row r="143" spans="1:5" x14ac:dyDescent="0.3">
      <c r="A143" s="25"/>
      <c r="B143" s="26"/>
      <c r="C143" s="26">
        <f t="shared" si="1"/>
        <v>0</v>
      </c>
      <c r="D143" s="26"/>
      <c r="E143" s="130"/>
    </row>
    <row r="144" spans="1:5" x14ac:dyDescent="0.3">
      <c r="A144" s="25"/>
      <c r="B144" s="26"/>
      <c r="C144" s="26">
        <f t="shared" si="1"/>
        <v>0</v>
      </c>
      <c r="D144" s="26"/>
      <c r="E144" s="130"/>
    </row>
    <row r="145" spans="1:5" x14ac:dyDescent="0.3">
      <c r="A145" s="25"/>
      <c r="B145" s="26"/>
      <c r="C145" s="26">
        <f t="shared" si="1"/>
        <v>0</v>
      </c>
      <c r="D145" s="26"/>
      <c r="E145" s="130"/>
    </row>
    <row r="146" spans="1:5" x14ac:dyDescent="0.3">
      <c r="A146" s="25"/>
      <c r="B146" s="26"/>
      <c r="C146" s="26">
        <f t="shared" si="1"/>
        <v>0</v>
      </c>
      <c r="D146" s="26"/>
      <c r="E146" s="130"/>
    </row>
    <row r="147" spans="1:5" x14ac:dyDescent="0.3">
      <c r="A147" s="25"/>
      <c r="B147" s="26"/>
      <c r="C147" s="26">
        <f t="shared" si="1"/>
        <v>0</v>
      </c>
      <c r="D147" s="26"/>
      <c r="E147" s="130"/>
    </row>
    <row r="148" spans="1:5" x14ac:dyDescent="0.3">
      <c r="A148" s="25"/>
      <c r="B148" s="26"/>
      <c r="C148" s="26">
        <f t="shared" si="1"/>
        <v>0</v>
      </c>
      <c r="D148" s="26"/>
      <c r="E148" s="130"/>
    </row>
    <row r="149" spans="1:5" x14ac:dyDescent="0.3">
      <c r="A149" s="25"/>
      <c r="B149" s="26"/>
      <c r="C149" s="26">
        <f t="shared" si="1"/>
        <v>0</v>
      </c>
      <c r="D149" s="26"/>
      <c r="E149" s="130"/>
    </row>
    <row r="150" spans="1:5" x14ac:dyDescent="0.3">
      <c r="A150" s="25"/>
      <c r="B150" s="26"/>
      <c r="C150" s="26">
        <f t="shared" si="1"/>
        <v>0</v>
      </c>
      <c r="D150" s="26"/>
      <c r="E150" s="130"/>
    </row>
    <row r="151" spans="1:5" x14ac:dyDescent="0.3">
      <c r="A151" s="25"/>
      <c r="B151" s="26"/>
      <c r="C151" s="26">
        <f t="shared" si="1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3A85A-B753-4CE2-8391-A8A0324F72EB}">
  <sheetPr codeName="Hoja20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48.109375" customWidth="1"/>
    <col min="2" max="2" width="15.5546875" style="3" bestFit="1" customWidth="1"/>
    <col min="3" max="3" width="21" style="3" bestFit="1" customWidth="1"/>
    <col min="4" max="4" width="16.66406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25" t="s">
        <v>559</v>
      </c>
      <c r="B2" s="26">
        <v>1600</v>
      </c>
      <c r="C2" s="26">
        <f>B2*1.6</f>
        <v>2560</v>
      </c>
      <c r="D2" s="26">
        <v>2500</v>
      </c>
      <c r="E2" s="130"/>
    </row>
    <row r="3" spans="1:5" x14ac:dyDescent="0.3">
      <c r="A3" s="25" t="s">
        <v>560</v>
      </c>
      <c r="B3" s="26">
        <v>1975</v>
      </c>
      <c r="C3" s="26">
        <f>B3*1.5</f>
        <v>2962.5</v>
      </c>
      <c r="D3" s="26">
        <v>2950</v>
      </c>
      <c r="E3" s="130"/>
    </row>
    <row r="4" spans="1:5" x14ac:dyDescent="0.3">
      <c r="A4" s="25" t="s">
        <v>561</v>
      </c>
      <c r="B4" s="26">
        <v>600</v>
      </c>
      <c r="C4" s="26">
        <f>B4*1.7</f>
        <v>1020</v>
      </c>
      <c r="D4" s="26">
        <v>1000</v>
      </c>
      <c r="E4" s="130">
        <v>7700</v>
      </c>
    </row>
    <row r="5" spans="1:5" x14ac:dyDescent="0.3">
      <c r="A5" s="28" t="s">
        <v>128</v>
      </c>
      <c r="B5" s="29">
        <v>2600</v>
      </c>
      <c r="C5" s="29">
        <f>B5*1.4</f>
        <v>3639.9999999999995</v>
      </c>
      <c r="D5" s="29">
        <v>3650</v>
      </c>
      <c r="E5" s="30">
        <v>2530</v>
      </c>
    </row>
    <row r="6" spans="1:5" x14ac:dyDescent="0.3">
      <c r="A6" s="28" t="s">
        <v>129</v>
      </c>
      <c r="B6" s="29">
        <v>650</v>
      </c>
      <c r="C6" s="29">
        <f>B6*1.6</f>
        <v>1040</v>
      </c>
      <c r="D6" s="29">
        <v>1050</v>
      </c>
      <c r="E6" s="30"/>
    </row>
    <row r="7" spans="1:5" x14ac:dyDescent="0.3">
      <c r="A7" s="28" t="s">
        <v>130</v>
      </c>
      <c r="B7" s="29">
        <v>1300</v>
      </c>
      <c r="C7" s="29">
        <f>B7*1.5</f>
        <v>1950</v>
      </c>
      <c r="D7" s="29">
        <v>1950</v>
      </c>
      <c r="E7" s="30"/>
    </row>
    <row r="8" spans="1:5" x14ac:dyDescent="0.3">
      <c r="A8" s="28" t="s">
        <v>131</v>
      </c>
      <c r="B8" s="29">
        <v>250</v>
      </c>
      <c r="C8" s="29">
        <f>B8*1.7</f>
        <v>425</v>
      </c>
      <c r="D8" s="29">
        <v>450</v>
      </c>
      <c r="E8" s="30"/>
    </row>
    <row r="9" spans="1:5" x14ac:dyDescent="0.3">
      <c r="A9" s="45" t="s">
        <v>978</v>
      </c>
      <c r="B9" s="46">
        <v>542</v>
      </c>
      <c r="C9" s="46">
        <f>B9*1.9</f>
        <v>1029.8</v>
      </c>
      <c r="D9" s="46">
        <v>1000</v>
      </c>
      <c r="E9" s="47"/>
    </row>
    <row r="10" spans="1:5" x14ac:dyDescent="0.3">
      <c r="A10" s="45" t="s">
        <v>977</v>
      </c>
      <c r="B10" s="46">
        <v>1125</v>
      </c>
      <c r="C10" s="46">
        <f>B10*1.8</f>
        <v>2025</v>
      </c>
      <c r="D10" s="46">
        <v>2000</v>
      </c>
      <c r="E10" s="47"/>
    </row>
    <row r="11" spans="1:5" x14ac:dyDescent="0.3">
      <c r="A11" s="45" t="s">
        <v>976</v>
      </c>
      <c r="B11" s="46">
        <v>2100</v>
      </c>
      <c r="C11" s="46">
        <f>B11*1.7</f>
        <v>3570</v>
      </c>
      <c r="D11" s="46">
        <v>3500</v>
      </c>
      <c r="E11" s="47"/>
    </row>
    <row r="12" spans="1:5" x14ac:dyDescent="0.3">
      <c r="A12" s="45" t="s">
        <v>975</v>
      </c>
      <c r="B12" s="46">
        <v>400</v>
      </c>
      <c r="C12" s="46">
        <f>B12*1.7</f>
        <v>680</v>
      </c>
      <c r="D12" s="46">
        <v>700</v>
      </c>
      <c r="E12" s="47"/>
    </row>
    <row r="13" spans="1:5" x14ac:dyDescent="0.3">
      <c r="A13" s="45" t="s">
        <v>974</v>
      </c>
      <c r="B13" s="46">
        <v>4150</v>
      </c>
      <c r="C13" s="46">
        <f>B13*1.6</f>
        <v>6640</v>
      </c>
      <c r="D13" s="46">
        <v>6500</v>
      </c>
      <c r="E13" s="47">
        <v>4100</v>
      </c>
    </row>
    <row r="14" spans="1:5" x14ac:dyDescent="0.3">
      <c r="A14" s="25" t="s">
        <v>522</v>
      </c>
      <c r="B14" s="26">
        <v>900</v>
      </c>
      <c r="C14" s="26">
        <f>B14*1.6</f>
        <v>1440</v>
      </c>
      <c r="D14" s="26">
        <v>1500</v>
      </c>
      <c r="E14" s="130"/>
    </row>
    <row r="15" spans="1:5" x14ac:dyDescent="0.3">
      <c r="A15" s="25" t="s">
        <v>521</v>
      </c>
      <c r="B15" s="26">
        <v>400</v>
      </c>
      <c r="C15" s="26">
        <f>B15*1.7</f>
        <v>680</v>
      </c>
      <c r="D15" s="26">
        <v>700</v>
      </c>
      <c r="E15" s="130">
        <v>8200</v>
      </c>
    </row>
    <row r="16" spans="1:5" x14ac:dyDescent="0.3">
      <c r="A16" s="100" t="s">
        <v>1021</v>
      </c>
      <c r="B16" s="101">
        <v>3450</v>
      </c>
      <c r="C16" s="101">
        <f>B16*1.4</f>
        <v>4830</v>
      </c>
      <c r="D16" s="101">
        <v>4900</v>
      </c>
      <c r="E16" s="102">
        <v>3400</v>
      </c>
    </row>
    <row r="17" spans="1:5" x14ac:dyDescent="0.3">
      <c r="A17" s="45" t="s">
        <v>1023</v>
      </c>
      <c r="B17" s="46">
        <v>650</v>
      </c>
      <c r="C17" s="46">
        <f>B17*1.7</f>
        <v>1105</v>
      </c>
      <c r="D17" s="46">
        <v>1100</v>
      </c>
      <c r="E17" s="47"/>
    </row>
    <row r="18" spans="1:5" x14ac:dyDescent="0.3">
      <c r="A18" s="100" t="s">
        <v>1024</v>
      </c>
      <c r="B18" s="101">
        <v>900</v>
      </c>
      <c r="C18" s="101">
        <f>B18*1.6</f>
        <v>1440</v>
      </c>
      <c r="D18" s="101">
        <v>1500</v>
      </c>
      <c r="E18" s="102"/>
    </row>
    <row r="19" spans="1:5" x14ac:dyDescent="0.3">
      <c r="A19" s="45" t="s">
        <v>1022</v>
      </c>
      <c r="B19" s="46">
        <v>1750</v>
      </c>
      <c r="C19" s="46">
        <f>B19*1.5</f>
        <v>2625</v>
      </c>
      <c r="D19" s="46">
        <v>2650</v>
      </c>
      <c r="E19" s="47"/>
    </row>
    <row r="20" spans="1:5" x14ac:dyDescent="0.3">
      <c r="A20" s="78" t="s">
        <v>980</v>
      </c>
      <c r="B20" s="79">
        <v>950</v>
      </c>
      <c r="C20" s="79">
        <f>B20*1.7</f>
        <v>1615</v>
      </c>
      <c r="D20" s="79">
        <v>1600</v>
      </c>
      <c r="E20" s="80"/>
    </row>
    <row r="21" spans="1:5" x14ac:dyDescent="0.3">
      <c r="A21" s="78" t="s">
        <v>979</v>
      </c>
      <c r="B21" s="79">
        <v>300</v>
      </c>
      <c r="C21" s="79">
        <f>B21*1.8</f>
        <v>540</v>
      </c>
      <c r="D21" s="79">
        <v>600</v>
      </c>
      <c r="E21" s="80">
        <v>3510</v>
      </c>
    </row>
    <row r="22" spans="1:5" x14ac:dyDescent="0.3">
      <c r="A22" s="25" t="s">
        <v>206</v>
      </c>
      <c r="B22" s="26">
        <v>3000</v>
      </c>
      <c r="C22" s="26">
        <f>B22*1.4</f>
        <v>4200</v>
      </c>
      <c r="D22" s="26">
        <v>4300</v>
      </c>
      <c r="E22" s="130">
        <v>2934</v>
      </c>
    </row>
    <row r="23" spans="1:5" x14ac:dyDescent="0.3">
      <c r="A23" s="25" t="s">
        <v>208</v>
      </c>
      <c r="B23" s="26">
        <v>800</v>
      </c>
      <c r="C23" s="26">
        <f>B23*1.7</f>
        <v>1360</v>
      </c>
      <c r="D23" s="26">
        <v>1400</v>
      </c>
      <c r="E23" s="130"/>
    </row>
    <row r="24" spans="1:5" x14ac:dyDescent="0.3">
      <c r="A24" s="25" t="s">
        <v>207</v>
      </c>
      <c r="B24" s="26">
        <v>1550</v>
      </c>
      <c r="C24" s="26">
        <f>B24*1.5</f>
        <v>2325</v>
      </c>
      <c r="D24" s="26">
        <v>2400</v>
      </c>
      <c r="E24" s="130"/>
    </row>
    <row r="25" spans="1:5" x14ac:dyDescent="0.3">
      <c r="A25" s="100" t="s">
        <v>1248</v>
      </c>
      <c r="B25" s="101">
        <v>485</v>
      </c>
      <c r="C25" s="101">
        <f>B25*1.7</f>
        <v>824.5</v>
      </c>
      <c r="D25" s="101">
        <v>800</v>
      </c>
      <c r="E25" s="102"/>
    </row>
    <row r="26" spans="1:5" x14ac:dyDescent="0.3">
      <c r="A26" s="100" t="s">
        <v>1250</v>
      </c>
      <c r="B26" s="101">
        <v>900</v>
      </c>
      <c r="C26" s="101">
        <f>B26*1.6</f>
        <v>1440</v>
      </c>
      <c r="D26" s="101">
        <v>1450</v>
      </c>
      <c r="E26" s="102"/>
    </row>
    <row r="27" spans="1:5" x14ac:dyDescent="0.3">
      <c r="A27" s="100" t="s">
        <v>1251</v>
      </c>
      <c r="B27" s="101">
        <v>1750</v>
      </c>
      <c r="C27" s="101">
        <f>B27*1.5</f>
        <v>2625</v>
      </c>
      <c r="D27" s="101">
        <v>2650</v>
      </c>
      <c r="E27" s="102"/>
    </row>
    <row r="28" spans="1:5" x14ac:dyDescent="0.3">
      <c r="A28" s="100" t="s">
        <v>1249</v>
      </c>
      <c r="B28" s="101">
        <v>3400</v>
      </c>
      <c r="C28" s="101">
        <f>B28*1.4</f>
        <v>4760</v>
      </c>
      <c r="D28" s="101">
        <v>4750</v>
      </c>
      <c r="E28" s="102">
        <v>2970</v>
      </c>
    </row>
    <row r="29" spans="1:5" x14ac:dyDescent="0.3">
      <c r="A29" s="25" t="s">
        <v>634</v>
      </c>
      <c r="B29" s="26">
        <v>4150</v>
      </c>
      <c r="C29" s="26">
        <f>B29*1.5</f>
        <v>6225</v>
      </c>
      <c r="D29" s="26">
        <v>6250</v>
      </c>
      <c r="E29" s="130">
        <v>4100</v>
      </c>
    </row>
    <row r="30" spans="1:5" x14ac:dyDescent="0.3">
      <c r="A30" s="25" t="s">
        <v>636</v>
      </c>
      <c r="B30" s="26">
        <v>1100</v>
      </c>
      <c r="C30" s="26">
        <f>B30*1.7</f>
        <v>1870</v>
      </c>
      <c r="D30" s="26">
        <v>1850</v>
      </c>
      <c r="E30" s="26"/>
    </row>
    <row r="31" spans="1:5" x14ac:dyDescent="0.3">
      <c r="A31" s="25" t="s">
        <v>635</v>
      </c>
      <c r="B31" s="26">
        <v>2100</v>
      </c>
      <c r="C31" s="26">
        <f>B31*1.6</f>
        <v>3360</v>
      </c>
      <c r="D31" s="26">
        <v>3350</v>
      </c>
      <c r="E31" s="130"/>
    </row>
    <row r="32" spans="1:5" x14ac:dyDescent="0.3">
      <c r="A32" s="116" t="s">
        <v>633</v>
      </c>
      <c r="B32" s="117">
        <v>350</v>
      </c>
      <c r="C32" s="117">
        <f>B32*1.8</f>
        <v>630</v>
      </c>
      <c r="D32" s="117">
        <v>650</v>
      </c>
      <c r="E32" s="118"/>
    </row>
    <row r="33" spans="1:5" x14ac:dyDescent="0.3">
      <c r="A33" s="25"/>
      <c r="B33" s="26"/>
      <c r="C33" s="26">
        <f>B33*1.4</f>
        <v>0</v>
      </c>
      <c r="D33" s="26"/>
      <c r="E33" s="130"/>
    </row>
    <row r="34" spans="1:5" x14ac:dyDescent="0.3">
      <c r="A34" s="25"/>
      <c r="B34" s="26"/>
      <c r="C34" s="26">
        <f>B34*1.7</f>
        <v>0</v>
      </c>
      <c r="D34" s="26"/>
      <c r="E34" s="130"/>
    </row>
    <row r="35" spans="1:5" x14ac:dyDescent="0.3">
      <c r="A35" s="25"/>
      <c r="B35" s="26"/>
      <c r="C35" s="26">
        <f>B35*1.6</f>
        <v>0</v>
      </c>
      <c r="D35" s="26"/>
      <c r="E35" s="130"/>
    </row>
    <row r="36" spans="1:5" x14ac:dyDescent="0.3">
      <c r="A36" s="25"/>
      <c r="B36" s="26"/>
      <c r="C36" s="26">
        <f>B36*1.5</f>
        <v>0</v>
      </c>
      <c r="D36" s="26"/>
      <c r="E36" s="130"/>
    </row>
    <row r="37" spans="1:5" x14ac:dyDescent="0.3">
      <c r="A37" s="25"/>
      <c r="B37" s="26"/>
      <c r="C37" s="26">
        <f>B37*1.7</f>
        <v>0</v>
      </c>
      <c r="D37" s="26"/>
      <c r="E37" s="130"/>
    </row>
    <row r="38" spans="1:5" x14ac:dyDescent="0.3">
      <c r="A38" s="25"/>
      <c r="B38" s="26"/>
      <c r="C38" s="26">
        <f>B38*1.4</f>
        <v>0</v>
      </c>
      <c r="D38" s="26"/>
      <c r="E38" s="130"/>
    </row>
    <row r="39" spans="1:5" x14ac:dyDescent="0.3">
      <c r="A39" s="25"/>
      <c r="B39" s="26"/>
      <c r="C39" s="26">
        <f>B39*1.4</f>
        <v>0</v>
      </c>
      <c r="D39" s="26"/>
      <c r="E39" s="130"/>
    </row>
    <row r="40" spans="1:5" x14ac:dyDescent="0.3">
      <c r="A40" s="25"/>
      <c r="B40" s="26"/>
      <c r="C40" s="26">
        <f>B40*1.7</f>
        <v>0</v>
      </c>
      <c r="D40" s="26"/>
      <c r="E40" s="130"/>
    </row>
    <row r="41" spans="1:5" x14ac:dyDescent="0.3">
      <c r="A41" s="25"/>
      <c r="B41" s="26"/>
      <c r="C41" s="26">
        <f>B41*1.6</f>
        <v>0</v>
      </c>
      <c r="D41" s="26"/>
      <c r="E41" s="130"/>
    </row>
    <row r="42" spans="1:5" x14ac:dyDescent="0.3">
      <c r="A42" s="25"/>
      <c r="B42" s="26"/>
      <c r="C42" s="26">
        <f>B42*1.5</f>
        <v>0</v>
      </c>
      <c r="D42" s="26"/>
      <c r="E42" s="130"/>
    </row>
    <row r="43" spans="1:5" x14ac:dyDescent="0.3">
      <c r="A43" s="25"/>
      <c r="B43" s="26"/>
      <c r="C43" s="26">
        <f>B43*1.4</f>
        <v>0</v>
      </c>
      <c r="D43" s="26"/>
      <c r="E43" s="130"/>
    </row>
    <row r="44" spans="1:5" x14ac:dyDescent="0.3">
      <c r="A44" s="25"/>
      <c r="B44" s="26"/>
      <c r="C44" s="26">
        <f>B44*1.5</f>
        <v>0</v>
      </c>
      <c r="D44" s="26"/>
      <c r="E44" s="130"/>
    </row>
    <row r="45" spans="1:5" x14ac:dyDescent="0.3">
      <c r="A45" s="25"/>
      <c r="B45" s="26"/>
      <c r="C45" s="26">
        <f>B45*1.7</f>
        <v>0</v>
      </c>
      <c r="D45" s="26"/>
      <c r="E45" s="130"/>
    </row>
    <row r="46" spans="1:5" x14ac:dyDescent="0.3">
      <c r="A46" s="25"/>
      <c r="B46" s="26"/>
      <c r="C46" s="26">
        <f>B46*1.6</f>
        <v>0</v>
      </c>
      <c r="D46" s="26"/>
      <c r="E46" s="130"/>
    </row>
    <row r="47" spans="1:5" x14ac:dyDescent="0.3">
      <c r="A47" s="25"/>
      <c r="B47" s="26"/>
      <c r="C47" s="26">
        <f>B47*1.6</f>
        <v>0</v>
      </c>
      <c r="D47" s="26"/>
      <c r="E47" s="130"/>
    </row>
    <row r="48" spans="1:5" x14ac:dyDescent="0.3">
      <c r="A48" s="25"/>
      <c r="B48" s="26"/>
      <c r="C48" s="26">
        <f>B48*1.5</f>
        <v>0</v>
      </c>
      <c r="D48" s="26"/>
      <c r="E48" s="130"/>
    </row>
    <row r="49" spans="1:5" x14ac:dyDescent="0.3">
      <c r="A49" s="25"/>
      <c r="B49" s="26"/>
      <c r="C49" s="26">
        <f>B49*1.7</f>
        <v>0</v>
      </c>
      <c r="D49" s="26"/>
      <c r="E49" s="130"/>
    </row>
    <row r="50" spans="1:5" x14ac:dyDescent="0.3">
      <c r="A50" s="25"/>
      <c r="B50" s="26"/>
      <c r="C50" s="26">
        <f>B50*1.6</f>
        <v>0</v>
      </c>
      <c r="D50" s="26"/>
      <c r="E50" s="130"/>
    </row>
    <row r="51" spans="1:5" x14ac:dyDescent="0.3">
      <c r="A51" s="25"/>
      <c r="B51" s="26"/>
      <c r="C51" s="26">
        <f>B51*1.5</f>
        <v>0</v>
      </c>
      <c r="D51" s="26"/>
      <c r="E51" s="130"/>
    </row>
    <row r="52" spans="1:5" x14ac:dyDescent="0.3">
      <c r="A52" s="25"/>
      <c r="B52" s="26"/>
      <c r="C52" s="26">
        <f>B52*1.6</f>
        <v>0</v>
      </c>
      <c r="D52" s="26"/>
      <c r="E52" s="130"/>
    </row>
    <row r="53" spans="1:5" x14ac:dyDescent="0.3">
      <c r="A53" s="25"/>
      <c r="B53" s="26"/>
      <c r="C53" s="26">
        <f>B53*1.5</f>
        <v>0</v>
      </c>
      <c r="D53" s="26"/>
      <c r="E53" s="130"/>
    </row>
    <row r="54" spans="1:5" x14ac:dyDescent="0.3">
      <c r="A54" s="25"/>
      <c r="B54" s="26"/>
      <c r="C54" s="26">
        <f>B54*1.5</f>
        <v>0</v>
      </c>
      <c r="D54" s="26"/>
      <c r="E54" s="130"/>
    </row>
    <row r="55" spans="1:5" x14ac:dyDescent="0.3">
      <c r="A55" s="25"/>
      <c r="B55" s="26"/>
      <c r="C55" s="26">
        <f>B55*1.6</f>
        <v>0</v>
      </c>
      <c r="D55" s="26"/>
      <c r="E55" s="130"/>
    </row>
    <row r="56" spans="1:5" x14ac:dyDescent="0.3">
      <c r="A56" s="25"/>
      <c r="B56" s="26"/>
      <c r="C56" s="26">
        <f>B56*1.6</f>
        <v>0</v>
      </c>
      <c r="D56" s="26"/>
      <c r="E56" s="130"/>
    </row>
    <row r="57" spans="1:5" x14ac:dyDescent="0.3">
      <c r="A57" s="25"/>
      <c r="B57" s="26"/>
      <c r="C57" s="26">
        <f>B57*1.5</f>
        <v>0</v>
      </c>
      <c r="D57" s="26"/>
      <c r="E57" s="130"/>
    </row>
    <row r="58" spans="1:5" x14ac:dyDescent="0.3">
      <c r="A58" s="25"/>
      <c r="B58" s="26"/>
      <c r="C58" s="26">
        <f>B58*1.7</f>
        <v>0</v>
      </c>
      <c r="D58" s="26"/>
      <c r="E58" s="130"/>
    </row>
    <row r="59" spans="1:5" x14ac:dyDescent="0.3">
      <c r="A59" s="25"/>
      <c r="B59" s="26"/>
      <c r="C59" s="26">
        <f>B59*1.6</f>
        <v>0</v>
      </c>
      <c r="D59" s="26"/>
      <c r="E59" s="130"/>
    </row>
    <row r="60" spans="1:5" x14ac:dyDescent="0.3">
      <c r="A60" s="25"/>
      <c r="B60" s="26"/>
      <c r="C60" s="26">
        <f>B60*1.7</f>
        <v>0</v>
      </c>
      <c r="D60" s="26"/>
      <c r="E60" s="130"/>
    </row>
    <row r="61" spans="1:5" x14ac:dyDescent="0.3">
      <c r="A61" s="25"/>
      <c r="B61" s="26"/>
      <c r="C61" s="26">
        <f>B61*1.6</f>
        <v>0</v>
      </c>
      <c r="D61" s="26"/>
      <c r="E61" s="130"/>
    </row>
    <row r="62" spans="1:5" x14ac:dyDescent="0.3">
      <c r="A62" s="25"/>
      <c r="B62" s="26"/>
      <c r="C62" s="26">
        <f>B62*1.5</f>
        <v>0</v>
      </c>
      <c r="D62" s="26"/>
      <c r="E62" s="130"/>
    </row>
    <row r="63" spans="1:5" x14ac:dyDescent="0.3">
      <c r="A63" s="25"/>
      <c r="B63" s="26"/>
      <c r="C63" s="26">
        <f>B63*1.4</f>
        <v>0</v>
      </c>
      <c r="D63" s="26"/>
      <c r="E63" s="130"/>
    </row>
    <row r="64" spans="1:5" x14ac:dyDescent="0.3">
      <c r="A64" s="25"/>
      <c r="B64" s="26"/>
      <c r="C64" s="26">
        <f>B64*1.5</f>
        <v>0</v>
      </c>
      <c r="D64" s="26"/>
      <c r="E64" s="130"/>
    </row>
    <row r="65" spans="1:5" x14ac:dyDescent="0.3">
      <c r="A65" s="25"/>
      <c r="B65" s="26"/>
      <c r="C65" s="26">
        <f>B65*1.6</f>
        <v>0</v>
      </c>
      <c r="D65" s="26"/>
      <c r="E65" s="130"/>
    </row>
    <row r="66" spans="1:5" x14ac:dyDescent="0.3">
      <c r="A66" s="25"/>
      <c r="B66" s="26"/>
      <c r="C66" s="26">
        <f>B66*1.5</f>
        <v>0</v>
      </c>
      <c r="D66" s="26"/>
      <c r="E66" s="130"/>
    </row>
    <row r="67" spans="1:5" x14ac:dyDescent="0.3">
      <c r="A67" s="25"/>
      <c r="B67" s="26"/>
      <c r="C67" s="26">
        <f>B67*1.6</f>
        <v>0</v>
      </c>
      <c r="D67" s="26"/>
      <c r="E67" s="130"/>
    </row>
    <row r="68" spans="1:5" x14ac:dyDescent="0.3">
      <c r="A68" s="25"/>
      <c r="B68" s="26"/>
      <c r="C68" s="26">
        <f>B68*1.6</f>
        <v>0</v>
      </c>
      <c r="D68" s="26"/>
      <c r="E68" s="130"/>
    </row>
    <row r="69" spans="1:5" x14ac:dyDescent="0.3">
      <c r="A69" s="25"/>
      <c r="B69" s="26"/>
      <c r="C69" s="26">
        <f>B69*1.5</f>
        <v>0</v>
      </c>
      <c r="D69" s="26"/>
      <c r="E69" s="130"/>
    </row>
    <row r="70" spans="1:5" x14ac:dyDescent="0.3">
      <c r="A70" s="25"/>
      <c r="B70" s="26"/>
      <c r="C70" s="26">
        <f>B70*1.4</f>
        <v>0</v>
      </c>
      <c r="D70" s="26"/>
      <c r="E70" s="130"/>
    </row>
    <row r="71" spans="1:5" x14ac:dyDescent="0.3">
      <c r="A71" s="25"/>
      <c r="B71" s="26"/>
      <c r="C71" s="26">
        <f>B71*1.3</f>
        <v>0</v>
      </c>
      <c r="D71" s="26"/>
      <c r="E71" s="130"/>
    </row>
    <row r="72" spans="1:5" x14ac:dyDescent="0.3">
      <c r="A72" s="25"/>
      <c r="B72" s="26"/>
      <c r="C72" s="26">
        <f>B72*1.6</f>
        <v>0</v>
      </c>
      <c r="D72" s="26"/>
      <c r="E72" s="130"/>
    </row>
    <row r="73" spans="1:5" x14ac:dyDescent="0.3">
      <c r="A73" s="25"/>
      <c r="B73" s="26"/>
      <c r="C73" s="26">
        <f>B73*1.5</f>
        <v>0</v>
      </c>
      <c r="D73" s="26"/>
      <c r="E73" s="130"/>
    </row>
    <row r="74" spans="1:5" x14ac:dyDescent="0.3">
      <c r="A74" s="25"/>
      <c r="B74" s="26"/>
      <c r="C74" s="26">
        <f>B74*1.6</f>
        <v>0</v>
      </c>
      <c r="D74" s="26"/>
      <c r="E74" s="130"/>
    </row>
    <row r="75" spans="1:5" x14ac:dyDescent="0.3">
      <c r="A75" s="25"/>
      <c r="B75" s="26"/>
      <c r="C75" s="26">
        <f>B75*1.4</f>
        <v>0</v>
      </c>
      <c r="D75" s="26"/>
      <c r="E75" s="130"/>
    </row>
    <row r="76" spans="1:5" x14ac:dyDescent="0.3">
      <c r="A76" s="25"/>
      <c r="B76" s="26"/>
      <c r="C76" s="26">
        <f>B76*1.7</f>
        <v>0</v>
      </c>
      <c r="D76" s="26"/>
      <c r="E76" s="130"/>
    </row>
    <row r="77" spans="1:5" x14ac:dyDescent="0.3">
      <c r="A77" s="25"/>
      <c r="B77" s="26"/>
      <c r="C77" s="26">
        <f>B77*1.6</f>
        <v>0</v>
      </c>
      <c r="D77" s="26"/>
      <c r="E77" s="130"/>
    </row>
    <row r="78" spans="1:5" x14ac:dyDescent="0.3">
      <c r="A78" s="25"/>
      <c r="B78" s="26"/>
      <c r="C78" s="26">
        <f>B78*1.5</f>
        <v>0</v>
      </c>
      <c r="D78" s="26"/>
      <c r="E78" s="130"/>
    </row>
    <row r="79" spans="1:5" x14ac:dyDescent="0.3">
      <c r="A79" s="25"/>
      <c r="B79" s="26"/>
      <c r="C79" s="26">
        <f>B79*1.7</f>
        <v>0</v>
      </c>
      <c r="D79" s="26"/>
      <c r="E79" s="130"/>
    </row>
    <row r="80" spans="1:5" x14ac:dyDescent="0.3">
      <c r="A80" s="25"/>
      <c r="B80" s="26"/>
      <c r="C80" s="26">
        <f>B80*1.6</f>
        <v>0</v>
      </c>
      <c r="D80" s="26"/>
      <c r="E80" s="130"/>
    </row>
    <row r="81" spans="1:5" x14ac:dyDescent="0.3">
      <c r="A81" s="25"/>
      <c r="B81" s="26"/>
      <c r="C81" s="26">
        <f>B81*1.5</f>
        <v>0</v>
      </c>
      <c r="D81" s="26"/>
      <c r="E81" s="130"/>
    </row>
    <row r="82" spans="1:5" x14ac:dyDescent="0.3">
      <c r="A82" s="25"/>
      <c r="B82" s="26"/>
      <c r="C82" s="26">
        <f>B82*1.4</f>
        <v>0</v>
      </c>
      <c r="D82" s="26"/>
      <c r="E82" s="130"/>
    </row>
    <row r="83" spans="1:5" x14ac:dyDescent="0.3">
      <c r="A83" s="25"/>
      <c r="B83" s="26"/>
      <c r="C83" s="26">
        <f>B83*1.5</f>
        <v>0</v>
      </c>
      <c r="D83" s="26"/>
      <c r="E83" s="130"/>
    </row>
    <row r="84" spans="1:5" x14ac:dyDescent="0.3">
      <c r="A84" s="25"/>
      <c r="B84" s="26"/>
      <c r="C84" s="26">
        <f>B84*1.5</f>
        <v>0</v>
      </c>
      <c r="D84" s="26"/>
      <c r="E84" s="130"/>
    </row>
    <row r="85" spans="1:5" x14ac:dyDescent="0.3">
      <c r="A85" s="25"/>
      <c r="B85" s="26"/>
      <c r="C85" s="26">
        <f>B85*1.5</f>
        <v>0</v>
      </c>
      <c r="D85" s="26"/>
      <c r="E85" s="130"/>
    </row>
    <row r="86" spans="1:5" x14ac:dyDescent="0.3">
      <c r="A86" s="25"/>
      <c r="B86" s="26"/>
      <c r="C86" s="26">
        <f>B86*1.7</f>
        <v>0</v>
      </c>
      <c r="D86" s="26"/>
      <c r="E86" s="130"/>
    </row>
    <row r="87" spans="1:5" x14ac:dyDescent="0.3">
      <c r="A87" s="25"/>
      <c r="B87" s="26"/>
      <c r="C87" s="26">
        <f>B87*1.6</f>
        <v>0</v>
      </c>
      <c r="D87" s="26"/>
      <c r="E87" s="130"/>
    </row>
    <row r="88" spans="1:5" x14ac:dyDescent="0.3">
      <c r="A88" s="25"/>
      <c r="B88" s="26"/>
      <c r="C88" s="26">
        <f>B88*1.5</f>
        <v>0</v>
      </c>
      <c r="D88" s="26"/>
      <c r="E88" s="130"/>
    </row>
    <row r="89" spans="1:5" x14ac:dyDescent="0.3">
      <c r="A89" s="25"/>
      <c r="B89" s="26"/>
      <c r="C89" s="26">
        <f>B89*1.4</f>
        <v>0</v>
      </c>
      <c r="D89" s="26"/>
      <c r="E89" s="130"/>
    </row>
    <row r="90" spans="1:5" x14ac:dyDescent="0.3">
      <c r="A90" s="25"/>
      <c r="B90" s="26"/>
      <c r="C90" s="26">
        <f>B90*1.7</f>
        <v>0</v>
      </c>
      <c r="D90" s="26"/>
      <c r="E90" s="130"/>
    </row>
    <row r="91" spans="1:5" x14ac:dyDescent="0.3">
      <c r="A91" s="25"/>
      <c r="B91" s="26"/>
      <c r="C91" s="26">
        <f>B91*1.6</f>
        <v>0</v>
      </c>
      <c r="D91" s="26"/>
      <c r="E91" s="130"/>
    </row>
    <row r="92" spans="1:5" x14ac:dyDescent="0.3">
      <c r="A92" s="25"/>
      <c r="B92" s="26"/>
      <c r="C92" s="26">
        <f>B92*1.5</f>
        <v>0</v>
      </c>
      <c r="D92" s="26"/>
      <c r="E92" s="130"/>
    </row>
    <row r="93" spans="1:5" x14ac:dyDescent="0.3">
      <c r="A93" s="25"/>
      <c r="B93" s="26"/>
      <c r="C93" s="26">
        <f>B93*1.4</f>
        <v>0</v>
      </c>
      <c r="D93" s="26"/>
      <c r="E93" s="130"/>
    </row>
    <row r="94" spans="1:5" x14ac:dyDescent="0.3">
      <c r="A94" s="25"/>
      <c r="B94" s="26"/>
      <c r="C94" s="26">
        <f t="shared" ref="C94:C105" si="0">B94*1.5</f>
        <v>0</v>
      </c>
      <c r="D94" s="26"/>
      <c r="E94" s="130"/>
    </row>
    <row r="95" spans="1:5" x14ac:dyDescent="0.3">
      <c r="A95" s="25"/>
      <c r="B95" s="26"/>
      <c r="C95" s="26">
        <f t="shared" si="0"/>
        <v>0</v>
      </c>
      <c r="D95" s="26"/>
      <c r="E95" s="130"/>
    </row>
    <row r="96" spans="1:5" x14ac:dyDescent="0.3">
      <c r="A96" s="25"/>
      <c r="B96" s="26"/>
      <c r="C96" s="26">
        <f t="shared" si="0"/>
        <v>0</v>
      </c>
      <c r="D96" s="26"/>
      <c r="E96" s="130"/>
    </row>
    <row r="97" spans="1:5" x14ac:dyDescent="0.3">
      <c r="A97" s="25"/>
      <c r="B97" s="26"/>
      <c r="C97" s="26">
        <f t="shared" si="0"/>
        <v>0</v>
      </c>
      <c r="D97" s="26"/>
      <c r="E97" s="130"/>
    </row>
    <row r="98" spans="1:5" x14ac:dyDescent="0.3">
      <c r="A98" s="25"/>
      <c r="B98" s="26"/>
      <c r="C98" s="26">
        <f t="shared" si="0"/>
        <v>0</v>
      </c>
      <c r="D98" s="26"/>
      <c r="E98" s="130"/>
    </row>
    <row r="99" spans="1:5" x14ac:dyDescent="0.3">
      <c r="A99" s="25"/>
      <c r="B99" s="26"/>
      <c r="C99" s="26">
        <f t="shared" si="0"/>
        <v>0</v>
      </c>
      <c r="D99" s="26"/>
      <c r="E99" s="130"/>
    </row>
    <row r="100" spans="1:5" x14ac:dyDescent="0.3">
      <c r="A100" s="25"/>
      <c r="B100" s="26"/>
      <c r="C100" s="26">
        <f t="shared" si="0"/>
        <v>0</v>
      </c>
      <c r="D100" s="26"/>
      <c r="E100" s="130"/>
    </row>
    <row r="101" spans="1:5" x14ac:dyDescent="0.3">
      <c r="A101" s="25"/>
      <c r="B101" s="26"/>
      <c r="C101" s="26">
        <f t="shared" si="0"/>
        <v>0</v>
      </c>
      <c r="D101" s="26"/>
      <c r="E101" s="130"/>
    </row>
    <row r="102" spans="1:5" x14ac:dyDescent="0.3">
      <c r="A102" s="25"/>
      <c r="B102" s="26"/>
      <c r="C102" s="26">
        <f t="shared" si="0"/>
        <v>0</v>
      </c>
      <c r="D102" s="26"/>
      <c r="E102" s="130"/>
    </row>
    <row r="103" spans="1:5" x14ac:dyDescent="0.3">
      <c r="A103" s="25"/>
      <c r="B103" s="26"/>
      <c r="C103" s="26">
        <f t="shared" si="0"/>
        <v>0</v>
      </c>
      <c r="D103" s="26"/>
      <c r="E103" s="130"/>
    </row>
    <row r="104" spans="1:5" x14ac:dyDescent="0.3">
      <c r="A104" s="25"/>
      <c r="B104" s="26"/>
      <c r="C104" s="26">
        <f t="shared" si="0"/>
        <v>0</v>
      </c>
      <c r="D104" s="26"/>
      <c r="E104" s="130"/>
    </row>
    <row r="105" spans="1:5" x14ac:dyDescent="0.3">
      <c r="A105" s="25"/>
      <c r="B105" s="26"/>
      <c r="C105" s="26">
        <f t="shared" si="0"/>
        <v>0</v>
      </c>
      <c r="D105" s="26"/>
      <c r="E105" s="130"/>
    </row>
    <row r="106" spans="1:5" x14ac:dyDescent="0.3">
      <c r="A106" s="25"/>
      <c r="B106" s="26"/>
      <c r="C106" s="26">
        <f>B106*1.6</f>
        <v>0</v>
      </c>
      <c r="D106" s="26"/>
      <c r="E106" s="130"/>
    </row>
    <row r="107" spans="1:5" x14ac:dyDescent="0.3">
      <c r="A107" s="25"/>
      <c r="B107" s="26"/>
      <c r="C107" s="26">
        <f>B107*1.7</f>
        <v>0</v>
      </c>
      <c r="D107" s="26"/>
      <c r="E107" s="130"/>
    </row>
    <row r="108" spans="1:5" x14ac:dyDescent="0.3">
      <c r="A108" s="25"/>
      <c r="B108" s="26"/>
      <c r="C108" s="26">
        <f>B108*1.4</f>
        <v>0</v>
      </c>
      <c r="D108" s="26"/>
      <c r="E108" s="130"/>
    </row>
    <row r="109" spans="1:5" x14ac:dyDescent="0.3">
      <c r="A109" s="25"/>
      <c r="B109" s="26"/>
      <c r="C109" s="26">
        <f>B109*1.5</f>
        <v>0</v>
      </c>
      <c r="D109" s="26"/>
      <c r="E109" s="130"/>
    </row>
    <row r="110" spans="1:5" x14ac:dyDescent="0.3">
      <c r="A110" s="25"/>
      <c r="B110" s="26"/>
      <c r="C110" s="26">
        <f>B110*1.4</f>
        <v>0</v>
      </c>
      <c r="D110" s="26"/>
      <c r="E110" s="130"/>
    </row>
    <row r="111" spans="1:5" x14ac:dyDescent="0.3">
      <c r="A111" s="25"/>
      <c r="B111" s="26"/>
      <c r="C111" s="26">
        <f>B111*1.5</f>
        <v>0</v>
      </c>
      <c r="D111" s="26"/>
      <c r="E111" s="26"/>
    </row>
    <row r="112" spans="1:5" x14ac:dyDescent="0.3">
      <c r="A112" s="25"/>
      <c r="B112" s="26"/>
      <c r="C112" s="26">
        <f>B112*1.7</f>
        <v>0</v>
      </c>
      <c r="D112" s="26"/>
      <c r="E112" s="130"/>
    </row>
    <row r="113" spans="1:5" x14ac:dyDescent="0.3">
      <c r="A113" s="25"/>
      <c r="B113" s="26"/>
      <c r="C113" s="26">
        <f>B113*1.6</f>
        <v>0</v>
      </c>
      <c r="D113" s="26"/>
      <c r="E113" s="130"/>
    </row>
    <row r="114" spans="1:5" x14ac:dyDescent="0.3">
      <c r="A114" s="25"/>
      <c r="B114" s="26"/>
      <c r="C114" s="26">
        <f>B114*1.4</f>
        <v>0</v>
      </c>
      <c r="D114" s="26"/>
      <c r="E114" s="130"/>
    </row>
    <row r="115" spans="1:5" x14ac:dyDescent="0.3">
      <c r="A115" s="25"/>
      <c r="B115" s="26"/>
      <c r="C115" s="26">
        <f>B115*1.7</f>
        <v>0</v>
      </c>
      <c r="D115" s="26"/>
      <c r="E115" s="130"/>
    </row>
    <row r="116" spans="1:5" x14ac:dyDescent="0.3">
      <c r="A116" s="25"/>
      <c r="B116" s="26"/>
      <c r="C116" s="26">
        <f>B116*1.6</f>
        <v>0</v>
      </c>
      <c r="D116" s="26"/>
      <c r="E116" s="130"/>
    </row>
    <row r="117" spans="1:5" x14ac:dyDescent="0.3">
      <c r="A117" s="25"/>
      <c r="B117" s="26"/>
      <c r="C117" s="26">
        <f>B117*1.5</f>
        <v>0</v>
      </c>
      <c r="D117" s="26"/>
      <c r="E117" s="130"/>
    </row>
    <row r="118" spans="1:5" x14ac:dyDescent="0.3">
      <c r="A118" s="25"/>
      <c r="B118" s="26"/>
      <c r="C118" s="26">
        <f>B118*1.5</f>
        <v>0</v>
      </c>
      <c r="D118" s="26"/>
      <c r="E118" s="130"/>
    </row>
    <row r="119" spans="1:5" x14ac:dyDescent="0.3">
      <c r="A119" s="25"/>
      <c r="B119" s="26"/>
      <c r="C119" s="26">
        <f>B119*1.4</f>
        <v>0</v>
      </c>
      <c r="D119" s="26"/>
      <c r="E119" s="130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1">B137*1.5</f>
        <v>0</v>
      </c>
      <c r="D137" s="26"/>
      <c r="E137" s="130"/>
    </row>
    <row r="138" spans="1:5" x14ac:dyDescent="0.3">
      <c r="A138" s="25"/>
      <c r="B138" s="26"/>
      <c r="C138" s="26">
        <f t="shared" si="1"/>
        <v>0</v>
      </c>
      <c r="D138" s="26"/>
      <c r="E138" s="130"/>
    </row>
    <row r="139" spans="1:5" x14ac:dyDescent="0.3">
      <c r="A139" s="25"/>
      <c r="B139" s="26"/>
      <c r="C139" s="26">
        <f t="shared" si="1"/>
        <v>0</v>
      </c>
      <c r="D139" s="26"/>
      <c r="E139" s="27"/>
    </row>
    <row r="140" spans="1:5" x14ac:dyDescent="0.3">
      <c r="A140" s="25"/>
      <c r="B140" s="26"/>
      <c r="C140" s="26">
        <f t="shared" si="1"/>
        <v>0</v>
      </c>
      <c r="D140" s="26"/>
      <c r="E140" s="27"/>
    </row>
    <row r="141" spans="1:5" x14ac:dyDescent="0.3">
      <c r="A141" s="25"/>
      <c r="B141" s="26"/>
      <c r="C141" s="26">
        <f t="shared" si="1"/>
        <v>0</v>
      </c>
      <c r="D141" s="26"/>
      <c r="E141" s="27"/>
    </row>
    <row r="142" spans="1:5" x14ac:dyDescent="0.3">
      <c r="A142" s="25"/>
      <c r="B142" s="26"/>
      <c r="C142" s="26">
        <f t="shared" si="1"/>
        <v>0</v>
      </c>
      <c r="D142" s="26"/>
      <c r="E142" s="27"/>
    </row>
    <row r="143" spans="1:5" x14ac:dyDescent="0.3">
      <c r="A143" s="25"/>
      <c r="B143" s="26"/>
      <c r="C143" s="26">
        <f t="shared" si="1"/>
        <v>0</v>
      </c>
      <c r="D143" s="26"/>
      <c r="E143" s="27"/>
    </row>
    <row r="144" spans="1:5" x14ac:dyDescent="0.3">
      <c r="A144" s="25"/>
      <c r="B144" s="26"/>
      <c r="C144" s="26">
        <f t="shared" si="1"/>
        <v>0</v>
      </c>
      <c r="D144" s="26"/>
      <c r="E144" s="27"/>
    </row>
    <row r="145" spans="1:5" x14ac:dyDescent="0.3">
      <c r="A145" s="25"/>
      <c r="B145" s="26"/>
      <c r="C145" s="26">
        <f t="shared" si="1"/>
        <v>0</v>
      </c>
      <c r="D145" s="26"/>
      <c r="E145" s="27"/>
    </row>
    <row r="146" spans="1:5" x14ac:dyDescent="0.3">
      <c r="A146" s="25"/>
      <c r="B146" s="26"/>
      <c r="C146" s="26">
        <f t="shared" si="1"/>
        <v>0</v>
      </c>
      <c r="D146" s="26"/>
      <c r="E146" s="27"/>
    </row>
    <row r="147" spans="1:5" x14ac:dyDescent="0.3">
      <c r="A147" s="25"/>
      <c r="B147" s="26"/>
      <c r="C147" s="26">
        <f t="shared" si="1"/>
        <v>0</v>
      </c>
      <c r="D147" s="26"/>
      <c r="E147" s="27"/>
    </row>
    <row r="148" spans="1:5" x14ac:dyDescent="0.3">
      <c r="A148" s="25"/>
      <c r="B148" s="26"/>
      <c r="C148" s="26">
        <f t="shared" si="1"/>
        <v>0</v>
      </c>
      <c r="D148" s="26"/>
      <c r="E148" s="27"/>
    </row>
    <row r="149" spans="1:5" x14ac:dyDescent="0.3">
      <c r="A149" s="25"/>
      <c r="B149" s="26"/>
      <c r="C149" s="26">
        <f t="shared" si="1"/>
        <v>0</v>
      </c>
      <c r="D149" s="26"/>
      <c r="E149" s="27"/>
    </row>
    <row r="150" spans="1:5" x14ac:dyDescent="0.3">
      <c r="A150" s="25"/>
      <c r="B150" s="26"/>
      <c r="C150" s="26">
        <f t="shared" si="1"/>
        <v>0</v>
      </c>
      <c r="D150" s="26"/>
      <c r="E150" s="27"/>
    </row>
    <row r="151" spans="1:5" x14ac:dyDescent="0.3">
      <c r="A151" s="25"/>
      <c r="B151" s="26"/>
      <c r="C151" s="26">
        <f t="shared" si="1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87D17-1026-4F60-9E1E-8328BAE908AE}">
  <sheetPr codeName="Hoja17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55.44140625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78" t="s">
        <v>571</v>
      </c>
      <c r="B2" s="79">
        <v>1050</v>
      </c>
      <c r="C2" s="79">
        <f>B2*1.7</f>
        <v>1785</v>
      </c>
      <c r="D2" s="79">
        <v>1800</v>
      </c>
      <c r="E2" s="80"/>
    </row>
    <row r="3" spans="1:5" x14ac:dyDescent="0.3">
      <c r="A3" s="58" t="s">
        <v>572</v>
      </c>
      <c r="B3" s="59">
        <v>2550</v>
      </c>
      <c r="C3" s="59">
        <f>B3*1.6</f>
        <v>4080</v>
      </c>
      <c r="D3" s="59">
        <v>4100</v>
      </c>
      <c r="E3" s="60"/>
    </row>
    <row r="4" spans="1:5" x14ac:dyDescent="0.3">
      <c r="A4" s="78" t="s">
        <v>573</v>
      </c>
      <c r="B4" s="79">
        <v>5050</v>
      </c>
      <c r="C4" s="79">
        <f>B4*1.5</f>
        <v>7575</v>
      </c>
      <c r="D4" s="79">
        <v>7600</v>
      </c>
      <c r="E4" s="80"/>
    </row>
    <row r="5" spans="1:5" x14ac:dyDescent="0.3">
      <c r="A5" s="58" t="s">
        <v>574</v>
      </c>
      <c r="B5" s="59">
        <v>10050</v>
      </c>
      <c r="C5" s="59">
        <f>B5*1.4</f>
        <v>14070</v>
      </c>
      <c r="D5" s="59">
        <v>14100</v>
      </c>
      <c r="E5" s="60">
        <v>9000</v>
      </c>
    </row>
    <row r="6" spans="1:5" x14ac:dyDescent="0.3">
      <c r="A6" s="28" t="s">
        <v>693</v>
      </c>
      <c r="B6" s="29">
        <v>650</v>
      </c>
      <c r="C6" s="29">
        <f>B6*1.7</f>
        <v>1105</v>
      </c>
      <c r="D6" s="29">
        <v>1100</v>
      </c>
      <c r="E6" s="30"/>
    </row>
    <row r="7" spans="1:5" x14ac:dyDescent="0.3">
      <c r="A7" s="28" t="s">
        <v>692</v>
      </c>
      <c r="B7" s="29">
        <v>1550</v>
      </c>
      <c r="C7" s="29">
        <f>B7*1.6</f>
        <v>2480</v>
      </c>
      <c r="D7" s="29">
        <v>2500</v>
      </c>
      <c r="E7" s="30"/>
    </row>
    <row r="8" spans="1:5" x14ac:dyDescent="0.3">
      <c r="A8" s="28" t="s">
        <v>691</v>
      </c>
      <c r="B8" s="29">
        <v>3050</v>
      </c>
      <c r="C8" s="29">
        <f>B8*1.5</f>
        <v>4575</v>
      </c>
      <c r="D8" s="29">
        <v>4600</v>
      </c>
      <c r="E8" s="30"/>
    </row>
    <row r="9" spans="1:5" x14ac:dyDescent="0.3">
      <c r="A9" s="28" t="s">
        <v>690</v>
      </c>
      <c r="B9" s="29">
        <v>6050</v>
      </c>
      <c r="C9" s="29">
        <f>B9*1.4</f>
        <v>8470</v>
      </c>
      <c r="D9" s="29">
        <v>8500</v>
      </c>
      <c r="E9" s="30">
        <v>6000</v>
      </c>
    </row>
    <row r="10" spans="1:5" x14ac:dyDescent="0.3">
      <c r="A10" s="45" t="s">
        <v>717</v>
      </c>
      <c r="B10" s="46">
        <v>900</v>
      </c>
      <c r="C10" s="46">
        <f>B10*1.7</f>
        <v>1530</v>
      </c>
      <c r="D10" s="46">
        <v>1500</v>
      </c>
      <c r="E10" s="47">
        <v>3000</v>
      </c>
    </row>
    <row r="11" spans="1:5" x14ac:dyDescent="0.3">
      <c r="A11" s="150" t="s">
        <v>719</v>
      </c>
      <c r="B11" s="151">
        <v>3200</v>
      </c>
      <c r="C11" s="151">
        <f>B11*1.5</f>
        <v>4800</v>
      </c>
      <c r="D11" s="151">
        <v>4800</v>
      </c>
      <c r="E11" s="152"/>
    </row>
    <row r="12" spans="1:5" x14ac:dyDescent="0.3">
      <c r="A12" s="45" t="s">
        <v>718</v>
      </c>
      <c r="B12" s="46">
        <v>1660</v>
      </c>
      <c r="C12" s="46">
        <f>B12*1.6</f>
        <v>2656</v>
      </c>
      <c r="D12" s="46">
        <v>2800</v>
      </c>
      <c r="E12" s="47"/>
    </row>
    <row r="13" spans="1:5" x14ac:dyDescent="0.3">
      <c r="A13" s="109" t="s">
        <v>716</v>
      </c>
      <c r="B13" s="110">
        <v>850</v>
      </c>
      <c r="C13" s="110">
        <f>B13*1.7</f>
        <v>1445</v>
      </c>
      <c r="D13" s="110">
        <v>1500</v>
      </c>
      <c r="E13" s="111"/>
    </row>
    <row r="14" spans="1:5" x14ac:dyDescent="0.3">
      <c r="A14" s="109" t="s">
        <v>715</v>
      </c>
      <c r="B14" s="110">
        <v>2000</v>
      </c>
      <c r="C14" s="110">
        <f>B14*1.6</f>
        <v>3200</v>
      </c>
      <c r="D14" s="110">
        <v>3200</v>
      </c>
      <c r="E14" s="111"/>
    </row>
    <row r="15" spans="1:5" x14ac:dyDescent="0.3">
      <c r="A15" s="109" t="s">
        <v>714</v>
      </c>
      <c r="B15" s="110">
        <v>450</v>
      </c>
      <c r="C15" s="110">
        <f>B15*1.8</f>
        <v>810</v>
      </c>
      <c r="D15" s="110">
        <v>800</v>
      </c>
      <c r="E15" s="111"/>
    </row>
    <row r="16" spans="1:5" x14ac:dyDescent="0.3">
      <c r="A16" s="109" t="s">
        <v>713</v>
      </c>
      <c r="B16" s="110">
        <v>4050</v>
      </c>
      <c r="C16" s="110">
        <f>B16*1.5</f>
        <v>6075</v>
      </c>
      <c r="D16" s="110">
        <v>6100</v>
      </c>
      <c r="E16" s="111"/>
    </row>
    <row r="17" spans="1:5" x14ac:dyDescent="0.3">
      <c r="A17" s="109" t="s">
        <v>712</v>
      </c>
      <c r="B17" s="110">
        <v>8050</v>
      </c>
      <c r="C17" s="110">
        <f>B17*1.4</f>
        <v>11270</v>
      </c>
      <c r="D17" s="110">
        <v>11300</v>
      </c>
      <c r="E17" s="111">
        <v>8000</v>
      </c>
    </row>
    <row r="18" spans="1:5" x14ac:dyDescent="0.3">
      <c r="A18" s="78" t="s">
        <v>927</v>
      </c>
      <c r="B18" s="79">
        <v>650</v>
      </c>
      <c r="C18" s="79">
        <f>B18*1.8</f>
        <v>1170</v>
      </c>
      <c r="D18" s="79">
        <v>1200</v>
      </c>
      <c r="E18" s="80"/>
    </row>
    <row r="19" spans="1:5" x14ac:dyDescent="0.3">
      <c r="A19" s="25" t="s">
        <v>928</v>
      </c>
      <c r="B19" s="26">
        <v>1300</v>
      </c>
      <c r="C19" s="26">
        <f>B19*1.7</f>
        <v>2210</v>
      </c>
      <c r="D19" s="26">
        <v>2200</v>
      </c>
      <c r="E19" s="130"/>
    </row>
    <row r="20" spans="1:5" x14ac:dyDescent="0.3">
      <c r="A20" s="78" t="s">
        <v>929</v>
      </c>
      <c r="B20" s="79">
        <v>1550</v>
      </c>
      <c r="C20" s="79">
        <f>B20*1.6</f>
        <v>2480</v>
      </c>
      <c r="D20" s="79">
        <v>2500</v>
      </c>
      <c r="E20" s="80"/>
    </row>
    <row r="21" spans="1:5" x14ac:dyDescent="0.3">
      <c r="A21" s="78" t="s">
        <v>930</v>
      </c>
      <c r="B21" s="79">
        <v>3050</v>
      </c>
      <c r="C21" s="79">
        <f>B21*1.5</f>
        <v>4575</v>
      </c>
      <c r="D21" s="79">
        <v>4600</v>
      </c>
      <c r="E21" s="80"/>
    </row>
    <row r="22" spans="1:5" x14ac:dyDescent="0.3">
      <c r="A22" s="78" t="s">
        <v>931</v>
      </c>
      <c r="B22" s="79">
        <v>6050</v>
      </c>
      <c r="C22" s="79">
        <f>B22*1.4</f>
        <v>8470</v>
      </c>
      <c r="D22" s="79">
        <v>8500</v>
      </c>
      <c r="E22" s="80">
        <v>6000</v>
      </c>
    </row>
    <row r="23" spans="1:5" x14ac:dyDescent="0.3">
      <c r="A23" s="28" t="s">
        <v>724</v>
      </c>
      <c r="B23" s="29">
        <v>1100</v>
      </c>
      <c r="C23" s="29">
        <f>B23*1.7</f>
        <v>1870</v>
      </c>
      <c r="D23" s="29">
        <v>1800</v>
      </c>
      <c r="E23" s="30"/>
    </row>
    <row r="24" spans="1:5" x14ac:dyDescent="0.3">
      <c r="A24" s="112" t="s">
        <v>723</v>
      </c>
      <c r="B24" s="113">
        <v>2150</v>
      </c>
      <c r="C24" s="113">
        <f>B24*1.5</f>
        <v>3225</v>
      </c>
      <c r="D24" s="113">
        <v>3250</v>
      </c>
      <c r="E24" s="114"/>
    </row>
    <row r="25" spans="1:5" x14ac:dyDescent="0.3">
      <c r="A25" s="28" t="s">
        <v>722</v>
      </c>
      <c r="B25" s="29">
        <v>1800</v>
      </c>
      <c r="C25" s="29">
        <f>B25*1.5</f>
        <v>2700</v>
      </c>
      <c r="D25" s="29">
        <v>2700</v>
      </c>
      <c r="E25" s="30"/>
    </row>
    <row r="26" spans="1:5" x14ac:dyDescent="0.3">
      <c r="A26" s="112" t="s">
        <v>721</v>
      </c>
      <c r="B26" s="113">
        <v>3550</v>
      </c>
      <c r="C26" s="113">
        <f>B26*1.4</f>
        <v>4970</v>
      </c>
      <c r="D26" s="113">
        <v>5000</v>
      </c>
      <c r="E26" s="114">
        <v>7000</v>
      </c>
    </row>
    <row r="27" spans="1:5" x14ac:dyDescent="0.3">
      <c r="A27" s="28" t="s">
        <v>720</v>
      </c>
      <c r="B27" s="29">
        <v>7050</v>
      </c>
      <c r="C27" s="29">
        <f>B27*1.4</f>
        <v>9870</v>
      </c>
      <c r="D27" s="29">
        <v>9900</v>
      </c>
      <c r="E27" s="30">
        <v>7000</v>
      </c>
    </row>
    <row r="28" spans="1:5" x14ac:dyDescent="0.3">
      <c r="A28" s="25" t="s">
        <v>1003</v>
      </c>
      <c r="B28" s="26">
        <v>1550</v>
      </c>
      <c r="C28" s="26">
        <f>B28*1.7</f>
        <v>2635</v>
      </c>
      <c r="D28" s="26">
        <v>2600</v>
      </c>
      <c r="E28" s="130">
        <v>7000</v>
      </c>
    </row>
    <row r="29" spans="1:5" x14ac:dyDescent="0.3">
      <c r="A29" s="25" t="s">
        <v>725</v>
      </c>
      <c r="B29" s="26">
        <v>2250</v>
      </c>
      <c r="C29" s="26">
        <f>B29*1.6</f>
        <v>3600</v>
      </c>
      <c r="D29" s="26">
        <v>3600</v>
      </c>
      <c r="E29" s="130">
        <v>2200</v>
      </c>
    </row>
    <row r="30" spans="1:5" x14ac:dyDescent="0.3">
      <c r="A30" s="25" t="s">
        <v>727</v>
      </c>
      <c r="B30" s="26">
        <v>600</v>
      </c>
      <c r="C30" s="26">
        <f>B30*1.8</f>
        <v>1080</v>
      </c>
      <c r="D30" s="26">
        <v>1100</v>
      </c>
      <c r="E30" s="130"/>
    </row>
    <row r="31" spans="1:5" x14ac:dyDescent="0.3">
      <c r="A31" s="25" t="s">
        <v>726</v>
      </c>
      <c r="B31" s="26">
        <v>1150</v>
      </c>
      <c r="C31" s="26">
        <f>B31*1.7</f>
        <v>1955</v>
      </c>
      <c r="D31" s="26">
        <v>1950</v>
      </c>
      <c r="E31" s="130"/>
    </row>
    <row r="32" spans="1:5" x14ac:dyDescent="0.3">
      <c r="A32" s="39" t="s">
        <v>731</v>
      </c>
      <c r="B32" s="40">
        <v>725</v>
      </c>
      <c r="C32" s="40">
        <f>B32*1.7</f>
        <v>1232.5</v>
      </c>
      <c r="D32" s="40">
        <v>1250</v>
      </c>
      <c r="E32" s="41"/>
    </row>
    <row r="33" spans="1:5" x14ac:dyDescent="0.3">
      <c r="A33" s="78" t="s">
        <v>730</v>
      </c>
      <c r="B33" s="79">
        <v>1175</v>
      </c>
      <c r="C33" s="79">
        <f>B33*1.6</f>
        <v>1880</v>
      </c>
      <c r="D33" s="79">
        <v>1900</v>
      </c>
      <c r="E33" s="80"/>
    </row>
    <row r="34" spans="1:5" x14ac:dyDescent="0.3">
      <c r="A34" s="39" t="s">
        <v>729</v>
      </c>
      <c r="B34" s="40">
        <v>2300</v>
      </c>
      <c r="C34" s="40">
        <f>B34*1.5</f>
        <v>3450</v>
      </c>
      <c r="D34" s="40">
        <v>3450</v>
      </c>
      <c r="E34" s="41"/>
    </row>
    <row r="35" spans="1:5" x14ac:dyDescent="0.3">
      <c r="A35" s="78" t="s">
        <v>728</v>
      </c>
      <c r="B35" s="79">
        <v>4550</v>
      </c>
      <c r="C35" s="79">
        <f>B35*1.4</f>
        <v>6370</v>
      </c>
      <c r="D35" s="79">
        <v>6400</v>
      </c>
      <c r="E35" s="80">
        <v>4500</v>
      </c>
    </row>
    <row r="36" spans="1:5" x14ac:dyDescent="0.3">
      <c r="A36" s="45" t="s">
        <v>1175</v>
      </c>
      <c r="B36" s="46">
        <v>1150</v>
      </c>
      <c r="C36" s="46">
        <f>B36*1.6</f>
        <v>1840</v>
      </c>
      <c r="D36" s="46">
        <v>1800</v>
      </c>
      <c r="E36" s="47"/>
    </row>
    <row r="37" spans="1:5" x14ac:dyDescent="0.3">
      <c r="A37" s="45" t="s">
        <v>1176</v>
      </c>
      <c r="B37" s="46">
        <v>2300</v>
      </c>
      <c r="C37" s="46">
        <f>B37*1.5</f>
        <v>3450</v>
      </c>
      <c r="D37" s="46">
        <v>3450</v>
      </c>
      <c r="E37" s="47">
        <v>5000</v>
      </c>
    </row>
    <row r="38" spans="1:5" x14ac:dyDescent="0.3">
      <c r="A38" s="109" t="s">
        <v>820</v>
      </c>
      <c r="B38" s="110">
        <v>650</v>
      </c>
      <c r="C38" s="110">
        <f>B38*1.8</f>
        <v>1170</v>
      </c>
      <c r="D38" s="110">
        <v>1200</v>
      </c>
      <c r="E38" s="111"/>
    </row>
    <row r="39" spans="1:5" x14ac:dyDescent="0.3">
      <c r="A39" s="159" t="s">
        <v>819</v>
      </c>
      <c r="B39" s="160">
        <v>1250</v>
      </c>
      <c r="C39" s="160">
        <f>B39*1.7</f>
        <v>2125</v>
      </c>
      <c r="D39" s="160">
        <v>2200</v>
      </c>
      <c r="E39" s="161"/>
    </row>
    <row r="40" spans="1:5" x14ac:dyDescent="0.3">
      <c r="A40" s="109" t="s">
        <v>818</v>
      </c>
      <c r="B40" s="110">
        <v>1850</v>
      </c>
      <c r="C40" s="110">
        <f>B40*1.6</f>
        <v>2960</v>
      </c>
      <c r="D40" s="110">
        <v>3000</v>
      </c>
      <c r="E40" s="111"/>
    </row>
    <row r="41" spans="1:5" x14ac:dyDescent="0.3">
      <c r="A41" s="159" t="s">
        <v>817</v>
      </c>
      <c r="B41" s="160">
        <v>3050</v>
      </c>
      <c r="C41" s="160">
        <f>B41*1.5</f>
        <v>4575</v>
      </c>
      <c r="D41" s="160">
        <v>4600</v>
      </c>
      <c r="E41" s="161"/>
    </row>
    <row r="42" spans="1:5" x14ac:dyDescent="0.3">
      <c r="A42" s="109" t="s">
        <v>816</v>
      </c>
      <c r="B42" s="110">
        <v>6050</v>
      </c>
      <c r="C42" s="110">
        <f>B42*1.4</f>
        <v>8470</v>
      </c>
      <c r="D42" s="110">
        <v>8500</v>
      </c>
      <c r="E42" s="111">
        <v>12000</v>
      </c>
    </row>
    <row r="43" spans="1:5" x14ac:dyDescent="0.3">
      <c r="A43" s="100" t="s">
        <v>1043</v>
      </c>
      <c r="B43" s="101">
        <v>490</v>
      </c>
      <c r="C43" s="101">
        <f>B43*1.7</f>
        <v>833</v>
      </c>
      <c r="D43" s="101">
        <v>850</v>
      </c>
      <c r="E43" s="102"/>
    </row>
    <row r="44" spans="1:5" x14ac:dyDescent="0.3">
      <c r="A44" s="45" t="s">
        <v>849</v>
      </c>
      <c r="B44" s="46">
        <v>575</v>
      </c>
      <c r="C44" s="46">
        <f>B44*1.7</f>
        <v>977.5</v>
      </c>
      <c r="D44" s="46">
        <v>1000</v>
      </c>
      <c r="E44" s="47"/>
    </row>
    <row r="45" spans="1:5" x14ac:dyDescent="0.3">
      <c r="A45" s="100" t="s">
        <v>1044</v>
      </c>
      <c r="B45" s="101">
        <v>750</v>
      </c>
      <c r="C45" s="101">
        <f>B45*1.6</f>
        <v>1200</v>
      </c>
      <c r="D45" s="101">
        <v>1200</v>
      </c>
      <c r="E45" s="102"/>
    </row>
    <row r="46" spans="1:5" x14ac:dyDescent="0.3">
      <c r="A46" s="45" t="s">
        <v>848</v>
      </c>
      <c r="B46" s="46">
        <v>925</v>
      </c>
      <c r="C46" s="101">
        <f>B46*1.6</f>
        <v>1480</v>
      </c>
      <c r="D46" s="46">
        <v>1500</v>
      </c>
      <c r="E46" s="47"/>
    </row>
    <row r="47" spans="1:5" x14ac:dyDescent="0.3">
      <c r="A47" s="100" t="s">
        <v>847</v>
      </c>
      <c r="B47" s="101">
        <v>1800</v>
      </c>
      <c r="C47" s="101">
        <f>B47*1.5</f>
        <v>2700</v>
      </c>
      <c r="D47" s="101">
        <v>2700</v>
      </c>
      <c r="E47" s="102"/>
    </row>
    <row r="48" spans="1:5" x14ac:dyDescent="0.3">
      <c r="A48" s="45" t="s">
        <v>846</v>
      </c>
      <c r="B48" s="46">
        <v>3550</v>
      </c>
      <c r="C48" s="46">
        <f>B48*1.4</f>
        <v>4970</v>
      </c>
      <c r="D48" s="46">
        <v>5000</v>
      </c>
      <c r="E48" s="47">
        <v>3500</v>
      </c>
    </row>
    <row r="49" spans="1:5" x14ac:dyDescent="0.3">
      <c r="A49" s="78" t="s">
        <v>845</v>
      </c>
      <c r="B49" s="79">
        <v>425</v>
      </c>
      <c r="C49" s="79">
        <f>B49*1.7</f>
        <v>722.5</v>
      </c>
      <c r="D49" s="79">
        <v>999999</v>
      </c>
      <c r="E49" s="80"/>
    </row>
    <row r="50" spans="1:5" x14ac:dyDescent="0.3">
      <c r="A50" s="39" t="s">
        <v>844</v>
      </c>
      <c r="B50" s="40">
        <v>675</v>
      </c>
      <c r="C50" s="40">
        <f>B50*1.6</f>
        <v>1080</v>
      </c>
      <c r="D50" s="40">
        <v>999999</v>
      </c>
      <c r="E50" s="41"/>
    </row>
    <row r="51" spans="1:5" x14ac:dyDescent="0.3">
      <c r="A51" s="78" t="s">
        <v>843</v>
      </c>
      <c r="B51" s="79">
        <v>1300</v>
      </c>
      <c r="C51" s="79">
        <f>B51*1.5</f>
        <v>1950</v>
      </c>
      <c r="D51" s="79">
        <v>9999</v>
      </c>
      <c r="E51" s="80"/>
    </row>
    <row r="52" spans="1:5" x14ac:dyDescent="0.3">
      <c r="A52" s="39" t="s">
        <v>842</v>
      </c>
      <c r="B52" s="40">
        <v>2550</v>
      </c>
      <c r="C52" s="40">
        <f>B52*1.4</f>
        <v>3570</v>
      </c>
      <c r="D52" s="40">
        <v>999999</v>
      </c>
      <c r="E52" s="41">
        <v>2500</v>
      </c>
    </row>
    <row r="53" spans="1:5" x14ac:dyDescent="0.3">
      <c r="A53" s="28" t="s">
        <v>1046</v>
      </c>
      <c r="B53" s="29">
        <v>740</v>
      </c>
      <c r="C53" s="29">
        <f>B53*1.7</f>
        <v>1258</v>
      </c>
      <c r="D53" s="29">
        <v>1300</v>
      </c>
      <c r="E53" s="30"/>
    </row>
    <row r="54" spans="1:5" x14ac:dyDescent="0.3">
      <c r="A54" s="112" t="s">
        <v>1047</v>
      </c>
      <c r="B54" s="113">
        <v>850</v>
      </c>
      <c r="C54" s="113">
        <f>B54*1.7</f>
        <v>1445</v>
      </c>
      <c r="D54" s="113">
        <v>1400</v>
      </c>
      <c r="E54" s="114">
        <v>5500</v>
      </c>
    </row>
    <row r="55" spans="1:5" x14ac:dyDescent="0.3">
      <c r="A55" s="28" t="s">
        <v>1045</v>
      </c>
      <c r="B55" s="29">
        <v>1150</v>
      </c>
      <c r="C55" s="29">
        <f>B55*1.6</f>
        <v>1840</v>
      </c>
      <c r="D55" s="29">
        <v>1850</v>
      </c>
      <c r="E55" s="30"/>
    </row>
    <row r="56" spans="1:5" x14ac:dyDescent="0.3">
      <c r="A56" s="112" t="s">
        <v>1048</v>
      </c>
      <c r="B56" s="113">
        <v>1400</v>
      </c>
      <c r="C56" s="113">
        <f>B56*1.6</f>
        <v>2240</v>
      </c>
      <c r="D56" s="113">
        <v>2250</v>
      </c>
      <c r="E56" s="114">
        <v>5500</v>
      </c>
    </row>
    <row r="57" spans="1:5" x14ac:dyDescent="0.3">
      <c r="A57" s="78" t="s">
        <v>867</v>
      </c>
      <c r="B57" s="79">
        <v>1000</v>
      </c>
      <c r="C57" s="79">
        <f>B57*1.7</f>
        <v>1700</v>
      </c>
      <c r="D57" s="79">
        <v>1750</v>
      </c>
      <c r="E57" s="80"/>
    </row>
    <row r="58" spans="1:5" x14ac:dyDescent="0.3">
      <c r="A58" s="39" t="s">
        <v>866</v>
      </c>
      <c r="B58" s="40">
        <v>1475</v>
      </c>
      <c r="C58" s="40">
        <f>B58*1.7</f>
        <v>2507.5</v>
      </c>
      <c r="D58" s="40">
        <v>2500</v>
      </c>
      <c r="E58" s="41"/>
    </row>
    <row r="59" spans="1:5" x14ac:dyDescent="0.3">
      <c r="A59" s="78" t="s">
        <v>865</v>
      </c>
      <c r="B59" s="79">
        <v>2420</v>
      </c>
      <c r="C59" s="79">
        <f>B59*1.6</f>
        <v>3872</v>
      </c>
      <c r="D59" s="79">
        <v>3900</v>
      </c>
      <c r="E59" s="80"/>
    </row>
    <row r="60" spans="1:5" x14ac:dyDescent="0.3">
      <c r="A60" s="39" t="s">
        <v>864</v>
      </c>
      <c r="B60" s="40">
        <v>4800</v>
      </c>
      <c r="C60" s="40">
        <f>B60*1.5</f>
        <v>7200</v>
      </c>
      <c r="D60" s="40">
        <v>7200</v>
      </c>
      <c r="E60" s="41"/>
    </row>
    <row r="61" spans="1:5" x14ac:dyDescent="0.3">
      <c r="A61" s="78" t="s">
        <v>863</v>
      </c>
      <c r="B61" s="79">
        <v>9550</v>
      </c>
      <c r="C61" s="79">
        <f>B61*1.4</f>
        <v>13370</v>
      </c>
      <c r="D61" s="79">
        <v>13400</v>
      </c>
      <c r="E61" s="80">
        <v>8500</v>
      </c>
    </row>
    <row r="62" spans="1:5" x14ac:dyDescent="0.3">
      <c r="A62" s="25"/>
      <c r="B62" s="26"/>
      <c r="C62" s="26">
        <f>B62*1.5</f>
        <v>0</v>
      </c>
      <c r="D62" s="26"/>
      <c r="E62" s="130"/>
    </row>
    <row r="63" spans="1:5" x14ac:dyDescent="0.3">
      <c r="A63" s="25"/>
      <c r="B63" s="26"/>
      <c r="C63" s="26">
        <f>B63*1.4</f>
        <v>0</v>
      </c>
      <c r="D63" s="26"/>
      <c r="E63" s="130"/>
    </row>
    <row r="64" spans="1:5" x14ac:dyDescent="0.3">
      <c r="A64" s="25"/>
      <c r="B64" s="26"/>
      <c r="C64" s="26">
        <f>B64*1.5</f>
        <v>0</v>
      </c>
      <c r="D64" s="26"/>
      <c r="E64" s="130"/>
    </row>
    <row r="65" spans="1:5" x14ac:dyDescent="0.3">
      <c r="A65" s="25"/>
      <c r="B65" s="26"/>
      <c r="C65" s="26">
        <f>B65*1.6</f>
        <v>0</v>
      </c>
      <c r="D65" s="26"/>
      <c r="E65" s="130"/>
    </row>
    <row r="66" spans="1:5" x14ac:dyDescent="0.3">
      <c r="A66" s="25"/>
      <c r="B66" s="26"/>
      <c r="C66" s="26">
        <f>B66*1.5</f>
        <v>0</v>
      </c>
      <c r="D66" s="26"/>
      <c r="E66" s="130"/>
    </row>
    <row r="67" spans="1:5" x14ac:dyDescent="0.3">
      <c r="A67" s="25"/>
      <c r="B67" s="26"/>
      <c r="C67" s="26">
        <f>B67*1.6</f>
        <v>0</v>
      </c>
      <c r="D67" s="26"/>
      <c r="E67" s="130"/>
    </row>
    <row r="68" spans="1:5" x14ac:dyDescent="0.3">
      <c r="A68" s="25"/>
      <c r="B68" s="26"/>
      <c r="C68" s="26">
        <f>B68*1.6</f>
        <v>0</v>
      </c>
      <c r="D68" s="26"/>
      <c r="E68" s="130"/>
    </row>
    <row r="69" spans="1:5" x14ac:dyDescent="0.3">
      <c r="A69" s="25"/>
      <c r="B69" s="26"/>
      <c r="C69" s="26">
        <f>B69*1.5</f>
        <v>0</v>
      </c>
      <c r="D69" s="26"/>
      <c r="E69" s="130"/>
    </row>
    <row r="70" spans="1:5" x14ac:dyDescent="0.3">
      <c r="A70" s="25"/>
      <c r="B70" s="26"/>
      <c r="C70" s="26">
        <f>B70*1.4</f>
        <v>0</v>
      </c>
      <c r="D70" s="26"/>
      <c r="E70" s="130"/>
    </row>
    <row r="71" spans="1:5" x14ac:dyDescent="0.3">
      <c r="A71" s="25"/>
      <c r="B71" s="26"/>
      <c r="C71" s="26">
        <f>B71*1.3</f>
        <v>0</v>
      </c>
      <c r="D71" s="26"/>
      <c r="E71" s="130"/>
    </row>
    <row r="72" spans="1:5" x14ac:dyDescent="0.3">
      <c r="A72" s="25"/>
      <c r="B72" s="26"/>
      <c r="C72" s="26">
        <f>B72*1.6</f>
        <v>0</v>
      </c>
      <c r="D72" s="26"/>
      <c r="E72" s="130"/>
    </row>
    <row r="73" spans="1:5" x14ac:dyDescent="0.3">
      <c r="A73" s="25"/>
      <c r="B73" s="26"/>
      <c r="C73" s="26">
        <f>B73*1.5</f>
        <v>0</v>
      </c>
      <c r="D73" s="26"/>
      <c r="E73" s="130"/>
    </row>
    <row r="74" spans="1:5" x14ac:dyDescent="0.3">
      <c r="A74" s="25"/>
      <c r="B74" s="26"/>
      <c r="C74" s="26">
        <f>B74*1.6</f>
        <v>0</v>
      </c>
      <c r="D74" s="26"/>
      <c r="E74" s="130"/>
    </row>
    <row r="75" spans="1:5" x14ac:dyDescent="0.3">
      <c r="A75" s="25"/>
      <c r="B75" s="26"/>
      <c r="C75" s="26">
        <f>B75*1.4</f>
        <v>0</v>
      </c>
      <c r="D75" s="26"/>
      <c r="E75" s="130"/>
    </row>
    <row r="76" spans="1:5" x14ac:dyDescent="0.3">
      <c r="A76" s="25"/>
      <c r="B76" s="26"/>
      <c r="C76" s="26">
        <f>B76*1.7</f>
        <v>0</v>
      </c>
      <c r="D76" s="26"/>
      <c r="E76" s="130"/>
    </row>
    <row r="77" spans="1:5" x14ac:dyDescent="0.3">
      <c r="A77" s="25"/>
      <c r="B77" s="26"/>
      <c r="C77" s="26">
        <f>B77*1.6</f>
        <v>0</v>
      </c>
      <c r="D77" s="26"/>
      <c r="E77" s="130"/>
    </row>
    <row r="78" spans="1:5" x14ac:dyDescent="0.3">
      <c r="A78" s="25"/>
      <c r="B78" s="26"/>
      <c r="C78" s="26">
        <f>B78*1.5</f>
        <v>0</v>
      </c>
      <c r="D78" s="26"/>
      <c r="E78" s="130"/>
    </row>
    <row r="79" spans="1:5" x14ac:dyDescent="0.3">
      <c r="A79" s="25"/>
      <c r="B79" s="26"/>
      <c r="C79" s="26">
        <f>B79*1.7</f>
        <v>0</v>
      </c>
      <c r="D79" s="26"/>
      <c r="E79" s="130"/>
    </row>
    <row r="80" spans="1:5" x14ac:dyDescent="0.3">
      <c r="A80" s="25"/>
      <c r="B80" s="26"/>
      <c r="C80" s="26">
        <f>B80*1.6</f>
        <v>0</v>
      </c>
      <c r="D80" s="26"/>
      <c r="E80" s="130"/>
    </row>
    <row r="81" spans="1:5" x14ac:dyDescent="0.3">
      <c r="A81" s="25"/>
      <c r="B81" s="26"/>
      <c r="C81" s="26">
        <f>B81*1.5</f>
        <v>0</v>
      </c>
      <c r="D81" s="26"/>
      <c r="E81" s="130"/>
    </row>
    <row r="82" spans="1:5" x14ac:dyDescent="0.3">
      <c r="A82" s="25"/>
      <c r="B82" s="26"/>
      <c r="C82" s="26">
        <f>B82*1.4</f>
        <v>0</v>
      </c>
      <c r="D82" s="26"/>
      <c r="E82" s="130"/>
    </row>
    <row r="83" spans="1:5" x14ac:dyDescent="0.3">
      <c r="A83" s="25"/>
      <c r="B83" s="26"/>
      <c r="C83" s="26">
        <f>B83*1.5</f>
        <v>0</v>
      </c>
      <c r="D83" s="26"/>
      <c r="E83" s="130"/>
    </row>
    <row r="84" spans="1:5" x14ac:dyDescent="0.3">
      <c r="A84" s="25"/>
      <c r="B84" s="26"/>
      <c r="C84" s="26">
        <f>B84*1.5</f>
        <v>0</v>
      </c>
      <c r="D84" s="26"/>
      <c r="E84" s="130"/>
    </row>
    <row r="85" spans="1:5" x14ac:dyDescent="0.3">
      <c r="A85" s="25"/>
      <c r="B85" s="26"/>
      <c r="C85" s="26">
        <f>B85*1.5</f>
        <v>0</v>
      </c>
      <c r="D85" s="26"/>
      <c r="E85" s="130"/>
    </row>
    <row r="86" spans="1:5" x14ac:dyDescent="0.3">
      <c r="A86" s="25"/>
      <c r="B86" s="26"/>
      <c r="C86" s="26">
        <f>B86*1.7</f>
        <v>0</v>
      </c>
      <c r="D86" s="26"/>
      <c r="E86" s="130"/>
    </row>
    <row r="87" spans="1:5" x14ac:dyDescent="0.3">
      <c r="A87" s="25"/>
      <c r="B87" s="26"/>
      <c r="C87" s="26">
        <f>B87*1.6</f>
        <v>0</v>
      </c>
      <c r="D87" s="26"/>
      <c r="E87" s="130"/>
    </row>
    <row r="88" spans="1:5" x14ac:dyDescent="0.3">
      <c r="A88" s="25"/>
      <c r="B88" s="26"/>
      <c r="C88" s="26">
        <f>B88*1.5</f>
        <v>0</v>
      </c>
      <c r="D88" s="26"/>
      <c r="E88" s="130"/>
    </row>
    <row r="89" spans="1:5" x14ac:dyDescent="0.3">
      <c r="A89" s="25"/>
      <c r="B89" s="26"/>
      <c r="C89" s="26">
        <f>B89*1.4</f>
        <v>0</v>
      </c>
      <c r="D89" s="26"/>
      <c r="E89" s="130"/>
    </row>
    <row r="90" spans="1:5" x14ac:dyDescent="0.3">
      <c r="A90" s="25"/>
      <c r="B90" s="26"/>
      <c r="C90" s="26">
        <f>B90*1.7</f>
        <v>0</v>
      </c>
      <c r="D90" s="26"/>
      <c r="E90" s="130"/>
    </row>
    <row r="91" spans="1:5" x14ac:dyDescent="0.3">
      <c r="A91" s="25"/>
      <c r="B91" s="26"/>
      <c r="C91" s="26">
        <f>B91*1.6</f>
        <v>0</v>
      </c>
      <c r="D91" s="26"/>
      <c r="E91" s="130"/>
    </row>
    <row r="92" spans="1:5" x14ac:dyDescent="0.3">
      <c r="A92" s="25"/>
      <c r="B92" s="26"/>
      <c r="C92" s="26">
        <f>B92*1.5</f>
        <v>0</v>
      </c>
      <c r="D92" s="26"/>
      <c r="E92" s="130"/>
    </row>
    <row r="93" spans="1:5" x14ac:dyDescent="0.3">
      <c r="A93" s="25"/>
      <c r="B93" s="26"/>
      <c r="C93" s="26">
        <f>B93*1.4</f>
        <v>0</v>
      </c>
      <c r="D93" s="26"/>
      <c r="E93" s="130"/>
    </row>
    <row r="94" spans="1:5" x14ac:dyDescent="0.3">
      <c r="A94" s="25"/>
      <c r="B94" s="26"/>
      <c r="C94" s="26">
        <f t="shared" ref="C94:C105" si="0">B94*1.5</f>
        <v>0</v>
      </c>
      <c r="D94" s="26"/>
      <c r="E94" s="130"/>
    </row>
    <row r="95" spans="1:5" x14ac:dyDescent="0.3">
      <c r="A95" s="25"/>
      <c r="B95" s="26"/>
      <c r="C95" s="26">
        <f t="shared" si="0"/>
        <v>0</v>
      </c>
      <c r="D95" s="26"/>
      <c r="E95" s="130"/>
    </row>
    <row r="96" spans="1:5" x14ac:dyDescent="0.3">
      <c r="A96" s="25"/>
      <c r="B96" s="26"/>
      <c r="C96" s="26">
        <f t="shared" si="0"/>
        <v>0</v>
      </c>
      <c r="D96" s="26"/>
      <c r="E96" s="130"/>
    </row>
    <row r="97" spans="1:5" x14ac:dyDescent="0.3">
      <c r="A97" s="25"/>
      <c r="B97" s="26"/>
      <c r="C97" s="26">
        <f t="shared" si="0"/>
        <v>0</v>
      </c>
      <c r="D97" s="26"/>
      <c r="E97" s="130"/>
    </row>
    <row r="98" spans="1:5" x14ac:dyDescent="0.3">
      <c r="A98" s="25"/>
      <c r="B98" s="26"/>
      <c r="C98" s="26">
        <f t="shared" si="0"/>
        <v>0</v>
      </c>
      <c r="D98" s="26"/>
      <c r="E98" s="130"/>
    </row>
    <row r="99" spans="1:5" x14ac:dyDescent="0.3">
      <c r="A99" s="25"/>
      <c r="B99" s="26"/>
      <c r="C99" s="26">
        <f t="shared" si="0"/>
        <v>0</v>
      </c>
      <c r="D99" s="26"/>
      <c r="E99" s="130"/>
    </row>
    <row r="100" spans="1:5" x14ac:dyDescent="0.3">
      <c r="A100" s="25"/>
      <c r="B100" s="26"/>
      <c r="C100" s="26">
        <f t="shared" si="0"/>
        <v>0</v>
      </c>
      <c r="D100" s="26"/>
      <c r="E100" s="130"/>
    </row>
    <row r="101" spans="1:5" x14ac:dyDescent="0.3">
      <c r="A101" s="25"/>
      <c r="B101" s="26"/>
      <c r="C101" s="26">
        <f t="shared" si="0"/>
        <v>0</v>
      </c>
      <c r="D101" s="26"/>
      <c r="E101" s="130"/>
    </row>
    <row r="102" spans="1:5" x14ac:dyDescent="0.3">
      <c r="A102" s="25"/>
      <c r="B102" s="26"/>
      <c r="C102" s="26">
        <f t="shared" si="0"/>
        <v>0</v>
      </c>
      <c r="D102" s="26"/>
      <c r="E102" s="130"/>
    </row>
    <row r="103" spans="1:5" x14ac:dyDescent="0.3">
      <c r="A103" s="25"/>
      <c r="B103" s="26"/>
      <c r="C103" s="26">
        <f t="shared" si="0"/>
        <v>0</v>
      </c>
      <c r="D103" s="26"/>
      <c r="E103" s="130"/>
    </row>
    <row r="104" spans="1:5" x14ac:dyDescent="0.3">
      <c r="A104" s="25"/>
      <c r="B104" s="26"/>
      <c r="C104" s="26">
        <f t="shared" si="0"/>
        <v>0</v>
      </c>
      <c r="D104" s="26"/>
      <c r="E104" s="130"/>
    </row>
    <row r="105" spans="1:5" x14ac:dyDescent="0.3">
      <c r="A105" s="25"/>
      <c r="B105" s="26"/>
      <c r="C105" s="26">
        <f t="shared" si="0"/>
        <v>0</v>
      </c>
      <c r="D105" s="26"/>
      <c r="E105" s="130"/>
    </row>
    <row r="106" spans="1:5" x14ac:dyDescent="0.3">
      <c r="A106" s="25"/>
      <c r="B106" s="26"/>
      <c r="C106" s="26">
        <f>B106*1.6</f>
        <v>0</v>
      </c>
      <c r="D106" s="26"/>
      <c r="E106" s="130"/>
    </row>
    <row r="107" spans="1:5" x14ac:dyDescent="0.3">
      <c r="A107" s="25"/>
      <c r="B107" s="26"/>
      <c r="C107" s="26">
        <f>B107*1.7</f>
        <v>0</v>
      </c>
      <c r="D107" s="26"/>
      <c r="E107" s="130"/>
    </row>
    <row r="108" spans="1:5" x14ac:dyDescent="0.3">
      <c r="A108" s="25"/>
      <c r="B108" s="26"/>
      <c r="C108" s="26">
        <f>B108*1.4</f>
        <v>0</v>
      </c>
      <c r="D108" s="26"/>
      <c r="E108" s="130"/>
    </row>
    <row r="109" spans="1:5" x14ac:dyDescent="0.3">
      <c r="A109" s="25"/>
      <c r="B109" s="26"/>
      <c r="C109" s="26">
        <f>B109*1.5</f>
        <v>0</v>
      </c>
      <c r="D109" s="26"/>
      <c r="E109" s="130"/>
    </row>
    <row r="110" spans="1:5" x14ac:dyDescent="0.3">
      <c r="A110" s="25"/>
      <c r="B110" s="26"/>
      <c r="C110" s="26">
        <f>B110*1.4</f>
        <v>0</v>
      </c>
      <c r="D110" s="26"/>
      <c r="E110" s="130"/>
    </row>
    <row r="111" spans="1:5" x14ac:dyDescent="0.3">
      <c r="A111" s="25"/>
      <c r="B111" s="26"/>
      <c r="C111" s="26">
        <f>B111*1.5</f>
        <v>0</v>
      </c>
      <c r="D111" s="26"/>
      <c r="E111" s="26"/>
    </row>
    <row r="112" spans="1:5" x14ac:dyDescent="0.3">
      <c r="A112" s="25"/>
      <c r="B112" s="26"/>
      <c r="C112" s="26">
        <f>B112*1.7</f>
        <v>0</v>
      </c>
      <c r="D112" s="26"/>
      <c r="E112" s="130"/>
    </row>
    <row r="113" spans="1:5" x14ac:dyDescent="0.3">
      <c r="A113" s="25"/>
      <c r="B113" s="26"/>
      <c r="C113" s="26">
        <f>B113*1.6</f>
        <v>0</v>
      </c>
      <c r="D113" s="26"/>
      <c r="E113" s="130"/>
    </row>
    <row r="114" spans="1:5" x14ac:dyDescent="0.3">
      <c r="A114" s="25"/>
      <c r="B114" s="26"/>
      <c r="C114" s="26">
        <f>B114*1.4</f>
        <v>0</v>
      </c>
      <c r="D114" s="26"/>
      <c r="E114" s="130"/>
    </row>
    <row r="115" spans="1:5" x14ac:dyDescent="0.3">
      <c r="A115" s="25"/>
      <c r="B115" s="26"/>
      <c r="C115" s="26">
        <f>B115*1.7</f>
        <v>0</v>
      </c>
      <c r="D115" s="26"/>
      <c r="E115" s="130"/>
    </row>
    <row r="116" spans="1:5" x14ac:dyDescent="0.3">
      <c r="A116" s="25"/>
      <c r="B116" s="26"/>
      <c r="C116" s="26">
        <f>B116*1.6</f>
        <v>0</v>
      </c>
      <c r="D116" s="26"/>
      <c r="E116" s="130"/>
    </row>
    <row r="117" spans="1:5" x14ac:dyDescent="0.3">
      <c r="A117" s="25"/>
      <c r="B117" s="26"/>
      <c r="C117" s="26">
        <f>B117*1.5</f>
        <v>0</v>
      </c>
      <c r="D117" s="26"/>
      <c r="E117" s="130"/>
    </row>
    <row r="118" spans="1:5" x14ac:dyDescent="0.3">
      <c r="A118" s="25"/>
      <c r="B118" s="26"/>
      <c r="C118" s="26">
        <f>B118*1.5</f>
        <v>0</v>
      </c>
      <c r="D118" s="26"/>
      <c r="E118" s="130"/>
    </row>
    <row r="119" spans="1:5" x14ac:dyDescent="0.3">
      <c r="A119" s="25"/>
      <c r="B119" s="26"/>
      <c r="C119" s="26">
        <f>B119*1.4</f>
        <v>0</v>
      </c>
      <c r="D119" s="26"/>
      <c r="E119" s="130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1">B137*1.5</f>
        <v>0</v>
      </c>
      <c r="D137" s="26"/>
      <c r="E137" s="130"/>
    </row>
    <row r="138" spans="1:5" x14ac:dyDescent="0.3">
      <c r="A138" s="25"/>
      <c r="B138" s="26"/>
      <c r="C138" s="26">
        <f t="shared" si="1"/>
        <v>0</v>
      </c>
      <c r="D138" s="26"/>
      <c r="E138" s="130"/>
    </row>
    <row r="139" spans="1:5" x14ac:dyDescent="0.3">
      <c r="A139" s="25"/>
      <c r="B139" s="26"/>
      <c r="C139" s="26">
        <f t="shared" si="1"/>
        <v>0</v>
      </c>
      <c r="D139" s="26"/>
      <c r="E139" s="130"/>
    </row>
    <row r="140" spans="1:5" x14ac:dyDescent="0.3">
      <c r="A140" s="25"/>
      <c r="B140" s="26"/>
      <c r="C140" s="26">
        <f t="shared" si="1"/>
        <v>0</v>
      </c>
      <c r="D140" s="26"/>
      <c r="E140" s="130"/>
    </row>
    <row r="141" spans="1:5" x14ac:dyDescent="0.3">
      <c r="A141" s="25"/>
      <c r="B141" s="26"/>
      <c r="C141" s="26">
        <f t="shared" si="1"/>
        <v>0</v>
      </c>
      <c r="D141" s="26"/>
      <c r="E141" s="130"/>
    </row>
    <row r="142" spans="1:5" x14ac:dyDescent="0.3">
      <c r="A142" s="25"/>
      <c r="B142" s="26"/>
      <c r="C142" s="26">
        <f t="shared" si="1"/>
        <v>0</v>
      </c>
      <c r="D142" s="26"/>
      <c r="E142" s="130"/>
    </row>
    <row r="143" spans="1:5" x14ac:dyDescent="0.3">
      <c r="A143" s="25"/>
      <c r="B143" s="26"/>
      <c r="C143" s="26">
        <f t="shared" si="1"/>
        <v>0</v>
      </c>
      <c r="D143" s="26"/>
      <c r="E143" s="130"/>
    </row>
    <row r="144" spans="1:5" x14ac:dyDescent="0.3">
      <c r="A144" s="25"/>
      <c r="B144" s="26"/>
      <c r="C144" s="26">
        <f t="shared" si="1"/>
        <v>0</v>
      </c>
      <c r="D144" s="26"/>
      <c r="E144" s="130"/>
    </row>
    <row r="145" spans="1:5" x14ac:dyDescent="0.3">
      <c r="A145" s="25"/>
      <c r="B145" s="26"/>
      <c r="C145" s="26">
        <f t="shared" si="1"/>
        <v>0</v>
      </c>
      <c r="D145" s="26"/>
      <c r="E145" s="130"/>
    </row>
    <row r="146" spans="1:5" x14ac:dyDescent="0.3">
      <c r="A146" s="25"/>
      <c r="B146" s="26"/>
      <c r="C146" s="26">
        <f t="shared" si="1"/>
        <v>0</v>
      </c>
      <c r="D146" s="26"/>
      <c r="E146" s="130"/>
    </row>
    <row r="147" spans="1:5" x14ac:dyDescent="0.3">
      <c r="A147" s="25"/>
      <c r="B147" s="26"/>
      <c r="C147" s="26">
        <f t="shared" si="1"/>
        <v>0</v>
      </c>
      <c r="D147" s="26"/>
      <c r="E147" s="130"/>
    </row>
    <row r="148" spans="1:5" x14ac:dyDescent="0.3">
      <c r="A148" s="25"/>
      <c r="B148" s="26"/>
      <c r="C148" s="26">
        <f t="shared" si="1"/>
        <v>0</v>
      </c>
      <c r="D148" s="26"/>
      <c r="E148" s="130"/>
    </row>
    <row r="149" spans="1:5" x14ac:dyDescent="0.3">
      <c r="A149" s="25"/>
      <c r="B149" s="26"/>
      <c r="C149" s="26">
        <f t="shared" si="1"/>
        <v>0</v>
      </c>
      <c r="D149" s="26"/>
      <c r="E149" s="130"/>
    </row>
    <row r="150" spans="1:5" x14ac:dyDescent="0.3">
      <c r="A150" s="25"/>
      <c r="B150" s="26"/>
      <c r="C150" s="26">
        <f t="shared" si="1"/>
        <v>0</v>
      </c>
      <c r="D150" s="26"/>
      <c r="E150" s="27"/>
    </row>
    <row r="151" spans="1:5" x14ac:dyDescent="0.3">
      <c r="A151" s="25"/>
      <c r="B151" s="26"/>
      <c r="C151" s="26">
        <f t="shared" si="1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0B435B-B47F-4AC0-BA11-72DE7117E829}">
  <sheetPr codeName="Hoja23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55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64" t="s">
        <v>756</v>
      </c>
      <c r="B2" s="64">
        <v>2050</v>
      </c>
      <c r="C2" s="65">
        <f>B2*1.7</f>
        <v>3485</v>
      </c>
      <c r="D2" s="64">
        <v>3500</v>
      </c>
      <c r="E2" s="64"/>
    </row>
    <row r="3" spans="1:5" x14ac:dyDescent="0.3">
      <c r="A3" s="34" t="s">
        <v>757</v>
      </c>
      <c r="B3" s="34">
        <v>550</v>
      </c>
      <c r="C3" s="35">
        <f>B3*1.8</f>
        <v>990</v>
      </c>
      <c r="D3" s="34">
        <v>1000</v>
      </c>
      <c r="E3" s="34"/>
    </row>
    <row r="4" spans="1:5" x14ac:dyDescent="0.3">
      <c r="A4" s="64" t="s">
        <v>758</v>
      </c>
      <c r="B4" s="64">
        <v>1050</v>
      </c>
      <c r="C4" s="65">
        <f>B4*1.8</f>
        <v>1890</v>
      </c>
      <c r="D4" s="64">
        <v>1900</v>
      </c>
      <c r="E4" s="64">
        <v>20000</v>
      </c>
    </row>
    <row r="5" spans="1:5" x14ac:dyDescent="0.3">
      <c r="A5" s="6" t="s">
        <v>761</v>
      </c>
      <c r="B5" s="6">
        <v>14300</v>
      </c>
      <c r="C5" s="7">
        <f>B5*1.4</f>
        <v>20020</v>
      </c>
      <c r="D5" s="6">
        <v>19500</v>
      </c>
      <c r="E5" s="6"/>
    </row>
    <row r="6" spans="1:5" x14ac:dyDescent="0.3">
      <c r="A6" s="64" t="s">
        <v>760</v>
      </c>
      <c r="B6" s="64">
        <v>10700</v>
      </c>
      <c r="C6" s="65">
        <f>B6*1.6</f>
        <v>17120</v>
      </c>
      <c r="D6" s="64">
        <v>17000</v>
      </c>
      <c r="E6" s="64"/>
    </row>
    <row r="7" spans="1:5" x14ac:dyDescent="0.3">
      <c r="A7" t="s">
        <v>874</v>
      </c>
      <c r="B7" s="3">
        <v>1130</v>
      </c>
      <c r="C7" s="3">
        <f>B7*1.7</f>
        <v>1921</v>
      </c>
      <c r="D7" s="3">
        <v>2200</v>
      </c>
      <c r="E7" s="145"/>
    </row>
    <row r="8" spans="1:5" x14ac:dyDescent="0.3">
      <c r="A8" t="s">
        <v>875</v>
      </c>
      <c r="B8" s="3">
        <v>2750</v>
      </c>
      <c r="C8" s="3">
        <f>B8*1.6</f>
        <v>4400</v>
      </c>
      <c r="D8" s="3">
        <v>4400</v>
      </c>
      <c r="E8" s="145"/>
    </row>
    <row r="9" spans="1:5" x14ac:dyDescent="0.3">
      <c r="A9" t="s">
        <v>873</v>
      </c>
      <c r="B9" s="3">
        <v>590</v>
      </c>
      <c r="C9" s="3">
        <f>B9*1.8</f>
        <v>1062</v>
      </c>
      <c r="D9" s="3">
        <v>1100</v>
      </c>
      <c r="E9" s="145">
        <v>10800</v>
      </c>
    </row>
    <row r="10" spans="1:5" x14ac:dyDescent="0.3">
      <c r="A10" s="71" t="s">
        <v>914</v>
      </c>
      <c r="B10" s="71">
        <v>2980</v>
      </c>
      <c r="C10" s="72">
        <f>B10*1.6</f>
        <v>4768</v>
      </c>
      <c r="D10" s="71">
        <v>4750</v>
      </c>
      <c r="E10" s="71"/>
    </row>
    <row r="11" spans="1:5" x14ac:dyDescent="0.3">
      <c r="A11" s="71" t="s">
        <v>915</v>
      </c>
      <c r="B11" s="71">
        <v>2700</v>
      </c>
      <c r="C11" s="72">
        <f>B11*1.6</f>
        <v>4320</v>
      </c>
      <c r="D11" s="71">
        <v>4300</v>
      </c>
      <c r="E11" s="71"/>
    </row>
    <row r="12" spans="1:5" x14ac:dyDescent="0.3">
      <c r="A12" t="s">
        <v>917</v>
      </c>
      <c r="B12" s="3">
        <v>3100</v>
      </c>
      <c r="C12" s="3">
        <f>B12*1.5</f>
        <v>4650</v>
      </c>
      <c r="D12" s="3">
        <v>4700</v>
      </c>
      <c r="E12" s="145"/>
    </row>
    <row r="13" spans="1:5" x14ac:dyDescent="0.3">
      <c r="A13" s="71" t="s">
        <v>1378</v>
      </c>
      <c r="B13" s="71">
        <v>2100</v>
      </c>
      <c r="C13" s="72">
        <f>B13*1.7</f>
        <v>3570</v>
      </c>
      <c r="D13" s="71">
        <v>3600</v>
      </c>
      <c r="E13" s="71"/>
    </row>
    <row r="14" spans="1:5" x14ac:dyDescent="0.3">
      <c r="A14" s="71" t="s">
        <v>916</v>
      </c>
      <c r="B14" s="71">
        <v>2800</v>
      </c>
      <c r="C14" s="72">
        <f>B14*1.5</f>
        <v>4200</v>
      </c>
      <c r="D14" s="71">
        <v>4500</v>
      </c>
      <c r="E14" s="71"/>
    </row>
    <row r="15" spans="1:5" x14ac:dyDescent="0.3">
      <c r="A15" s="64" t="s">
        <v>759</v>
      </c>
      <c r="B15" s="64">
        <v>2990</v>
      </c>
      <c r="C15" s="65">
        <f>B15*1.6</f>
        <v>4784</v>
      </c>
      <c r="D15" s="64">
        <v>4800</v>
      </c>
      <c r="E15" s="64"/>
    </row>
    <row r="16" spans="1:5" x14ac:dyDescent="0.3">
      <c r="A16" s="34" t="s">
        <v>335</v>
      </c>
      <c r="B16" s="34">
        <v>3590</v>
      </c>
      <c r="C16" s="35">
        <f>B16*1.5</f>
        <v>5385</v>
      </c>
      <c r="D16" s="34">
        <v>5400</v>
      </c>
      <c r="E16" s="34"/>
    </row>
    <row r="17" spans="1:5" x14ac:dyDescent="0.3">
      <c r="A17" s="34" t="s">
        <v>518</v>
      </c>
      <c r="B17" s="34">
        <v>250</v>
      </c>
      <c r="C17" s="35">
        <f>B17*1.8</f>
        <v>450</v>
      </c>
      <c r="D17" s="34">
        <v>450</v>
      </c>
      <c r="E17" s="34">
        <v>3700</v>
      </c>
    </row>
    <row r="18" spans="1:5" x14ac:dyDescent="0.3">
      <c r="A18" s="6" t="s">
        <v>1311</v>
      </c>
      <c r="B18" s="6">
        <v>500</v>
      </c>
      <c r="C18" s="7">
        <f>B18*1.7</f>
        <v>850</v>
      </c>
      <c r="D18" s="6">
        <v>850</v>
      </c>
      <c r="E18" s="6">
        <v>10000</v>
      </c>
    </row>
    <row r="19" spans="1:5" x14ac:dyDescent="0.3">
      <c r="A19" s="34" t="s">
        <v>1063</v>
      </c>
      <c r="B19" s="34">
        <v>390</v>
      </c>
      <c r="C19" s="35">
        <f>B19*1.8</f>
        <v>702</v>
      </c>
      <c r="D19" s="34">
        <v>700</v>
      </c>
      <c r="E19" s="34">
        <v>7500</v>
      </c>
    </row>
    <row r="20" spans="1:5" x14ac:dyDescent="0.3">
      <c r="A20" s="6" t="s">
        <v>374</v>
      </c>
      <c r="B20" s="6">
        <v>780</v>
      </c>
      <c r="C20" s="7">
        <f>B20*1.7</f>
        <v>1326</v>
      </c>
      <c r="D20" s="6">
        <v>1400</v>
      </c>
      <c r="E20" s="6">
        <v>24200</v>
      </c>
    </row>
    <row r="21" spans="1:5" x14ac:dyDescent="0.3">
      <c r="A21" s="6" t="s">
        <v>390</v>
      </c>
      <c r="B21" s="6">
        <v>650</v>
      </c>
      <c r="C21" s="7">
        <f>B21*1.7</f>
        <v>1105</v>
      </c>
      <c r="D21" s="6">
        <v>1100</v>
      </c>
      <c r="E21" s="6">
        <v>11900</v>
      </c>
    </row>
    <row r="22" spans="1:5" x14ac:dyDescent="0.3">
      <c r="A22" s="48" t="s">
        <v>815</v>
      </c>
      <c r="B22" s="48">
        <v>570</v>
      </c>
      <c r="C22" s="7">
        <f>B22*1.7</f>
        <v>969</v>
      </c>
      <c r="D22" s="48">
        <v>1000</v>
      </c>
      <c r="E22" s="48">
        <v>6100</v>
      </c>
    </row>
    <row r="23" spans="1:5" x14ac:dyDescent="0.3">
      <c r="A23" s="6" t="s">
        <v>641</v>
      </c>
      <c r="B23" s="6">
        <v>280</v>
      </c>
      <c r="C23" s="7">
        <f>B23*1.8</f>
        <v>504</v>
      </c>
      <c r="D23" s="6">
        <v>500</v>
      </c>
      <c r="E23" s="6">
        <v>6600</v>
      </c>
    </row>
    <row r="24" spans="1:5" x14ac:dyDescent="0.3">
      <c r="A24" s="34" t="s">
        <v>1061</v>
      </c>
      <c r="B24" s="34">
        <v>800</v>
      </c>
      <c r="C24" s="35">
        <f>B24*1.8</f>
        <v>1440</v>
      </c>
      <c r="D24" s="34">
        <v>1400</v>
      </c>
      <c r="E24" s="34">
        <v>30750</v>
      </c>
    </row>
    <row r="25" spans="1:5" x14ac:dyDescent="0.3">
      <c r="A25" s="64" t="s">
        <v>1062</v>
      </c>
      <c r="B25" s="64">
        <v>1280</v>
      </c>
      <c r="C25" s="65">
        <f>B25*1.7</f>
        <v>2176</v>
      </c>
      <c r="D25" s="64">
        <v>2200</v>
      </c>
      <c r="E25" s="64"/>
    </row>
    <row r="26" spans="1:5" x14ac:dyDescent="0.3">
      <c r="A26" s="71" t="s">
        <v>1139</v>
      </c>
      <c r="B26" s="71">
        <v>200</v>
      </c>
      <c r="C26" s="72">
        <f>B26*1.8</f>
        <v>360</v>
      </c>
      <c r="D26" s="71">
        <v>400</v>
      </c>
      <c r="E26" s="71"/>
    </row>
    <row r="27" spans="1:5" x14ac:dyDescent="0.3">
      <c r="A27" s="71" t="s">
        <v>1138</v>
      </c>
      <c r="B27" s="71">
        <v>260</v>
      </c>
      <c r="C27" s="72">
        <f>B27*1.8</f>
        <v>468</v>
      </c>
      <c r="D27" s="71">
        <v>600</v>
      </c>
      <c r="E27" s="71">
        <v>4200</v>
      </c>
    </row>
    <row r="28" spans="1:5" x14ac:dyDescent="0.3">
      <c r="A28" s="6" t="s">
        <v>545</v>
      </c>
      <c r="B28" s="6">
        <v>260</v>
      </c>
      <c r="C28" s="7">
        <f>B28*1.8</f>
        <v>468</v>
      </c>
      <c r="D28" s="6">
        <v>500</v>
      </c>
      <c r="E28" s="6">
        <v>4200</v>
      </c>
    </row>
    <row r="29" spans="1:5" x14ac:dyDescent="0.3">
      <c r="A29" s="6" t="s">
        <v>375</v>
      </c>
      <c r="B29" s="6">
        <v>260</v>
      </c>
      <c r="C29" s="7">
        <f>B29*1.8</f>
        <v>468</v>
      </c>
      <c r="D29" s="6">
        <v>500</v>
      </c>
      <c r="E29" s="6">
        <v>4200</v>
      </c>
    </row>
    <row r="30" spans="1:5" x14ac:dyDescent="0.3">
      <c r="A30" s="6" t="s">
        <v>490</v>
      </c>
      <c r="B30" s="6">
        <v>363</v>
      </c>
      <c r="C30" s="7">
        <f>B30*1.7</f>
        <v>617.1</v>
      </c>
      <c r="D30" s="6">
        <v>650</v>
      </c>
      <c r="E30" s="6">
        <v>7300</v>
      </c>
    </row>
    <row r="31" spans="1:5" x14ac:dyDescent="0.3">
      <c r="A31" t="s">
        <v>614</v>
      </c>
      <c r="B31" s="3">
        <v>6050</v>
      </c>
      <c r="C31" s="3">
        <f>B31*1.5</f>
        <v>9075</v>
      </c>
      <c r="D31" s="3">
        <v>9000</v>
      </c>
      <c r="E31" s="145">
        <v>6000</v>
      </c>
    </row>
    <row r="32" spans="1:5" x14ac:dyDescent="0.3">
      <c r="A32" t="s">
        <v>615</v>
      </c>
      <c r="B32" s="3">
        <v>350</v>
      </c>
      <c r="C32" s="3">
        <f>B32*1.8</f>
        <v>630</v>
      </c>
      <c r="D32" s="3">
        <v>650</v>
      </c>
      <c r="E32" s="145"/>
    </row>
    <row r="33" spans="1:5" x14ac:dyDescent="0.3">
      <c r="A33" s="6" t="s">
        <v>376</v>
      </c>
      <c r="B33" s="6">
        <v>320</v>
      </c>
      <c r="C33" s="7">
        <f>B33*1.8</f>
        <v>576</v>
      </c>
      <c r="D33" s="6">
        <v>600</v>
      </c>
      <c r="E33" s="6">
        <v>5400</v>
      </c>
    </row>
    <row r="34" spans="1:5" x14ac:dyDescent="0.3">
      <c r="A34" s="54" t="s">
        <v>830</v>
      </c>
      <c r="B34" s="54">
        <v>590</v>
      </c>
      <c r="C34" s="55">
        <f>B34*1.7</f>
        <v>1003</v>
      </c>
      <c r="D34" s="54">
        <v>1000</v>
      </c>
      <c r="E34" s="54"/>
    </row>
    <row r="35" spans="1:5" x14ac:dyDescent="0.3">
      <c r="A35" s="54" t="s">
        <v>829</v>
      </c>
      <c r="B35" s="54">
        <v>950</v>
      </c>
      <c r="C35" s="55">
        <f>B35*1.65</f>
        <v>1567.5</v>
      </c>
      <c r="D35" s="54">
        <v>1600</v>
      </c>
      <c r="E35" s="54">
        <v>18000</v>
      </c>
    </row>
    <row r="36" spans="1:5" x14ac:dyDescent="0.3">
      <c r="A36" t="s">
        <v>1056</v>
      </c>
      <c r="B36" s="3">
        <v>1850</v>
      </c>
      <c r="C36" s="3">
        <f>B36*1.6</f>
        <v>2960</v>
      </c>
      <c r="D36" s="3">
        <v>3000</v>
      </c>
      <c r="E36" s="145"/>
    </row>
    <row r="37" spans="1:5" x14ac:dyDescent="0.3">
      <c r="A37" s="48" t="s">
        <v>377</v>
      </c>
      <c r="B37" s="48">
        <v>460</v>
      </c>
      <c r="C37" s="7">
        <f>B37*1.7</f>
        <v>782</v>
      </c>
      <c r="D37" s="48">
        <v>800</v>
      </c>
      <c r="E37" s="48">
        <v>8200</v>
      </c>
    </row>
    <row r="38" spans="1:5" x14ac:dyDescent="0.3">
      <c r="A38" s="6" t="s">
        <v>1088</v>
      </c>
      <c r="B38" s="6">
        <v>470</v>
      </c>
      <c r="C38" s="7">
        <f>B38*1.8</f>
        <v>846</v>
      </c>
      <c r="D38" s="6">
        <v>850</v>
      </c>
      <c r="E38" s="6">
        <v>12000</v>
      </c>
    </row>
    <row r="39" spans="1:5" x14ac:dyDescent="0.3">
      <c r="A39" s="6" t="s">
        <v>378</v>
      </c>
      <c r="B39" s="6">
        <v>520</v>
      </c>
      <c r="C39" s="7">
        <f>B39*1.7</f>
        <v>884</v>
      </c>
      <c r="D39" s="6">
        <v>900</v>
      </c>
      <c r="E39" s="6">
        <v>9300</v>
      </c>
    </row>
    <row r="40" spans="1:5" x14ac:dyDescent="0.3">
      <c r="A40" s="6" t="s">
        <v>391</v>
      </c>
      <c r="B40" s="6">
        <v>110</v>
      </c>
      <c r="C40" s="7">
        <f>B40*1.8</f>
        <v>198</v>
      </c>
      <c r="D40" s="6">
        <v>300</v>
      </c>
      <c r="E40" s="6">
        <v>1600</v>
      </c>
    </row>
    <row r="41" spans="1:5" x14ac:dyDescent="0.3">
      <c r="A41" s="6" t="s">
        <v>379</v>
      </c>
      <c r="B41" s="6">
        <v>200</v>
      </c>
      <c r="C41" s="7">
        <f>B41*1.8</f>
        <v>360</v>
      </c>
      <c r="D41" s="6">
        <v>350</v>
      </c>
      <c r="E41" s="6">
        <v>2350</v>
      </c>
    </row>
    <row r="42" spans="1:5" x14ac:dyDescent="0.3">
      <c r="A42" s="6" t="s">
        <v>380</v>
      </c>
      <c r="B42" s="6">
        <v>420</v>
      </c>
      <c r="C42" s="7">
        <f>B42*1.7</f>
        <v>714</v>
      </c>
      <c r="D42" s="6">
        <v>700</v>
      </c>
      <c r="E42" s="6">
        <v>7500</v>
      </c>
    </row>
    <row r="43" spans="1:5" x14ac:dyDescent="0.3">
      <c r="A43" s="6" t="s">
        <v>381</v>
      </c>
      <c r="B43" s="6">
        <v>335</v>
      </c>
      <c r="C43" s="7">
        <f>B43*1.8</f>
        <v>603</v>
      </c>
      <c r="D43" s="6">
        <v>600</v>
      </c>
      <c r="E43" s="6">
        <v>5700</v>
      </c>
    </row>
    <row r="44" spans="1:5" x14ac:dyDescent="0.3">
      <c r="A44" s="6" t="s">
        <v>383</v>
      </c>
      <c r="B44" s="6">
        <v>430</v>
      </c>
      <c r="C44" s="7">
        <f>B44*1.7</f>
        <v>731</v>
      </c>
      <c r="D44" s="6">
        <v>750</v>
      </c>
      <c r="E44" s="6">
        <v>3800</v>
      </c>
    </row>
    <row r="45" spans="1:5" x14ac:dyDescent="0.3">
      <c r="A45" s="6" t="s">
        <v>384</v>
      </c>
      <c r="B45" s="6">
        <v>240</v>
      </c>
      <c r="C45" s="7">
        <f>B45*1.8</f>
        <v>432</v>
      </c>
      <c r="D45" s="6">
        <v>450</v>
      </c>
      <c r="E45" s="6"/>
    </row>
    <row r="46" spans="1:5" x14ac:dyDescent="0.3">
      <c r="A46" s="48" t="s">
        <v>382</v>
      </c>
      <c r="B46" s="48">
        <v>345</v>
      </c>
      <c r="C46" s="7">
        <f>B46*1.8</f>
        <v>621</v>
      </c>
      <c r="D46" s="48">
        <v>650</v>
      </c>
      <c r="E46" s="48">
        <v>5900</v>
      </c>
    </row>
    <row r="47" spans="1:5" x14ac:dyDescent="0.3">
      <c r="A47" s="6" t="s">
        <v>385</v>
      </c>
      <c r="B47" s="6">
        <v>680</v>
      </c>
      <c r="C47" s="7">
        <f>B47*1.7</f>
        <v>1156</v>
      </c>
      <c r="D47" s="6">
        <v>1150</v>
      </c>
      <c r="E47" s="6">
        <v>12630</v>
      </c>
    </row>
    <row r="48" spans="1:5" x14ac:dyDescent="0.3">
      <c r="A48" s="6" t="s">
        <v>386</v>
      </c>
      <c r="B48" s="6">
        <v>165</v>
      </c>
      <c r="C48" s="7">
        <f>B48*1.8</f>
        <v>297</v>
      </c>
      <c r="D48" s="6">
        <v>350</v>
      </c>
      <c r="E48" s="6">
        <v>2300</v>
      </c>
    </row>
    <row r="49" spans="1:5" x14ac:dyDescent="0.3">
      <c r="A49" s="6" t="s">
        <v>613</v>
      </c>
      <c r="B49" s="6">
        <v>410</v>
      </c>
      <c r="C49" s="7">
        <f>B49*1.7</f>
        <v>697</v>
      </c>
      <c r="D49" s="6">
        <v>700</v>
      </c>
      <c r="E49" s="6">
        <v>9000</v>
      </c>
    </row>
    <row r="50" spans="1:5" x14ac:dyDescent="0.3">
      <c r="A50" s="98" t="s">
        <v>1315</v>
      </c>
      <c r="B50" s="98">
        <v>1400</v>
      </c>
      <c r="C50" s="99">
        <f>B50*1.7</f>
        <v>2380</v>
      </c>
      <c r="D50" s="98">
        <v>2400</v>
      </c>
      <c r="E50" s="98"/>
    </row>
    <row r="51" spans="1:5" x14ac:dyDescent="0.3">
      <c r="A51" s="187" t="s">
        <v>1314</v>
      </c>
      <c r="B51" s="188">
        <v>3500</v>
      </c>
      <c r="C51" s="188">
        <f>B51*1.6</f>
        <v>5600</v>
      </c>
      <c r="D51" s="188">
        <v>5600</v>
      </c>
      <c r="E51" s="189"/>
    </row>
    <row r="52" spans="1:5" x14ac:dyDescent="0.3">
      <c r="A52" s="184" t="s">
        <v>1313</v>
      </c>
      <c r="B52" s="185">
        <v>6930</v>
      </c>
      <c r="C52" s="185">
        <f>B52*1.5</f>
        <v>10395</v>
      </c>
      <c r="D52" s="185">
        <v>10400</v>
      </c>
      <c r="E52" s="186"/>
    </row>
    <row r="53" spans="1:5" x14ac:dyDescent="0.3">
      <c r="A53" s="219" t="s">
        <v>1312</v>
      </c>
      <c r="B53" s="220">
        <v>14000</v>
      </c>
      <c r="C53" s="220">
        <f>B53*1.4</f>
        <v>19600</v>
      </c>
      <c r="D53" s="220">
        <v>19600</v>
      </c>
      <c r="E53" s="221">
        <v>13860</v>
      </c>
    </row>
    <row r="54" spans="1:5" x14ac:dyDescent="0.3">
      <c r="A54" s="171" t="s">
        <v>387</v>
      </c>
      <c r="B54" s="171">
        <v>415</v>
      </c>
      <c r="C54" s="146">
        <f>B54*1.7</f>
        <v>705.5</v>
      </c>
      <c r="D54" s="171">
        <v>700</v>
      </c>
      <c r="E54" s="171">
        <v>4570</v>
      </c>
    </row>
    <row r="55" spans="1:5" x14ac:dyDescent="0.3">
      <c r="A55" s="148" t="s">
        <v>388</v>
      </c>
      <c r="B55" s="148">
        <v>427</v>
      </c>
      <c r="C55" s="149">
        <f>B55*1.7</f>
        <v>725.9</v>
      </c>
      <c r="D55" s="148">
        <v>700</v>
      </c>
      <c r="E55" s="148">
        <v>7740</v>
      </c>
    </row>
    <row r="56" spans="1:5" x14ac:dyDescent="0.3">
      <c r="A56" s="25" t="s">
        <v>192</v>
      </c>
      <c r="B56" s="26">
        <v>475</v>
      </c>
      <c r="C56" s="26">
        <f>B56*1.7</f>
        <v>807.5</v>
      </c>
      <c r="D56" s="26">
        <v>800</v>
      </c>
      <c r="E56" s="130">
        <v>14500</v>
      </c>
    </row>
    <row r="57" spans="1:5" x14ac:dyDescent="0.3">
      <c r="A57" s="148" t="s">
        <v>389</v>
      </c>
      <c r="B57" s="148">
        <v>230</v>
      </c>
      <c r="C57" s="149">
        <f>B57*1.5</f>
        <v>345</v>
      </c>
      <c r="D57" s="148">
        <v>400</v>
      </c>
      <c r="E57" s="148">
        <v>3800</v>
      </c>
    </row>
    <row r="58" spans="1:5" x14ac:dyDescent="0.3">
      <c r="A58" s="148" t="s">
        <v>764</v>
      </c>
      <c r="B58" s="148">
        <v>350</v>
      </c>
      <c r="C58" s="149">
        <f>B58*1.8</f>
        <v>630</v>
      </c>
      <c r="D58" s="148">
        <v>700</v>
      </c>
      <c r="E58" s="148">
        <v>6000</v>
      </c>
    </row>
    <row r="59" spans="1:5" x14ac:dyDescent="0.3">
      <c r="A59" s="153" t="s">
        <v>700</v>
      </c>
      <c r="B59" s="153">
        <v>365</v>
      </c>
      <c r="C59" s="149">
        <f>B59*1.8</f>
        <v>657</v>
      </c>
      <c r="D59" s="153">
        <v>650</v>
      </c>
      <c r="E59" s="153"/>
    </row>
    <row r="60" spans="1:5" x14ac:dyDescent="0.3">
      <c r="A60" s="6" t="s">
        <v>701</v>
      </c>
      <c r="B60" s="6">
        <v>700</v>
      </c>
      <c r="C60" s="7">
        <f>B60*1.7</f>
        <v>1190</v>
      </c>
      <c r="D60" s="6">
        <v>1200</v>
      </c>
      <c r="E60" s="6">
        <v>16250</v>
      </c>
    </row>
    <row r="61" spans="1:5" x14ac:dyDescent="0.3">
      <c r="A61" s="25" t="s">
        <v>564</v>
      </c>
      <c r="B61" s="26">
        <v>400</v>
      </c>
      <c r="C61" s="26">
        <f>B61*1.5</f>
        <v>600</v>
      </c>
      <c r="D61" s="26">
        <v>800</v>
      </c>
      <c r="E61" s="130"/>
    </row>
    <row r="62" spans="1:5" x14ac:dyDescent="0.3">
      <c r="A62" s="148" t="s">
        <v>563</v>
      </c>
      <c r="B62" s="148">
        <v>200</v>
      </c>
      <c r="C62" s="149">
        <f>B62*1.8</f>
        <v>360</v>
      </c>
      <c r="D62" s="148">
        <v>500</v>
      </c>
      <c r="E62" s="148">
        <v>3360</v>
      </c>
    </row>
    <row r="63" spans="1:5" x14ac:dyDescent="0.3">
      <c r="A63" s="158" t="s">
        <v>562</v>
      </c>
      <c r="B63" s="158">
        <v>200</v>
      </c>
      <c r="C63" s="149">
        <f>B63*1.8</f>
        <v>360</v>
      </c>
      <c r="D63" s="158">
        <v>500</v>
      </c>
      <c r="E63" s="158"/>
    </row>
    <row r="64" spans="1:5" x14ac:dyDescent="0.3">
      <c r="A64" s="148" t="s">
        <v>659</v>
      </c>
      <c r="B64" s="148">
        <v>220</v>
      </c>
      <c r="C64" s="149">
        <f>B64*1.8</f>
        <v>396</v>
      </c>
      <c r="D64" s="148">
        <v>500</v>
      </c>
      <c r="E64" s="148">
        <v>3360</v>
      </c>
    </row>
    <row r="65" spans="1:5" x14ac:dyDescent="0.3">
      <c r="A65" s="148" t="s">
        <v>392</v>
      </c>
      <c r="B65" s="148">
        <v>450</v>
      </c>
      <c r="C65" s="149">
        <f>B65*1.7</f>
        <v>765</v>
      </c>
      <c r="D65" s="148">
        <v>800</v>
      </c>
      <c r="E65" s="148">
        <v>8200</v>
      </c>
    </row>
    <row r="66" spans="1:5" x14ac:dyDescent="0.3">
      <c r="A66" s="25"/>
      <c r="B66" s="26"/>
      <c r="C66" s="26">
        <f>B66*1.5</f>
        <v>0</v>
      </c>
      <c r="D66" s="26"/>
      <c r="E66" s="130"/>
    </row>
    <row r="67" spans="1:5" x14ac:dyDescent="0.3">
      <c r="A67" s="25"/>
      <c r="B67" s="26"/>
      <c r="C67" s="26">
        <f>B67*1.6</f>
        <v>0</v>
      </c>
      <c r="D67" s="26"/>
      <c r="E67" s="130"/>
    </row>
    <row r="68" spans="1:5" x14ac:dyDescent="0.3">
      <c r="A68" s="25"/>
      <c r="B68" s="26"/>
      <c r="C68" s="26">
        <f>B68*1.6</f>
        <v>0</v>
      </c>
      <c r="D68" s="26"/>
      <c r="E68" s="130"/>
    </row>
    <row r="69" spans="1:5" x14ac:dyDescent="0.3">
      <c r="A69" s="25"/>
      <c r="B69" s="26"/>
      <c r="C69" s="26">
        <f>B69*1.5</f>
        <v>0</v>
      </c>
      <c r="D69" s="26"/>
      <c r="E69" s="130"/>
    </row>
    <row r="70" spans="1:5" x14ac:dyDescent="0.3">
      <c r="A70" s="25"/>
      <c r="B70" s="26"/>
      <c r="C70" s="26">
        <f>B70*1.4</f>
        <v>0</v>
      </c>
      <c r="D70" s="26"/>
      <c r="E70" s="130"/>
    </row>
    <row r="71" spans="1:5" x14ac:dyDescent="0.3">
      <c r="A71" s="25"/>
      <c r="B71" s="26"/>
      <c r="C71" s="26">
        <f>B71*1.3</f>
        <v>0</v>
      </c>
      <c r="D71" s="26"/>
      <c r="E71" s="130"/>
    </row>
    <row r="72" spans="1:5" x14ac:dyDescent="0.3">
      <c r="A72" s="25"/>
      <c r="B72" s="26"/>
      <c r="C72" s="26">
        <f>B72*1.6</f>
        <v>0</v>
      </c>
      <c r="D72" s="26"/>
      <c r="E72" s="130"/>
    </row>
    <row r="73" spans="1:5" x14ac:dyDescent="0.3">
      <c r="A73" s="25"/>
      <c r="B73" s="26"/>
      <c r="C73" s="26">
        <f>B73*1.5</f>
        <v>0</v>
      </c>
      <c r="D73" s="26"/>
      <c r="E73" s="130"/>
    </row>
    <row r="74" spans="1:5" x14ac:dyDescent="0.3">
      <c r="A74" s="25"/>
      <c r="B74" s="26"/>
      <c r="C74" s="26">
        <f>B74*1.6</f>
        <v>0</v>
      </c>
      <c r="D74" s="26"/>
      <c r="E74" s="130"/>
    </row>
    <row r="75" spans="1:5" x14ac:dyDescent="0.3">
      <c r="A75" s="25"/>
      <c r="B75" s="26"/>
      <c r="C75" s="26">
        <f>B75*1.4</f>
        <v>0</v>
      </c>
      <c r="D75" s="26"/>
      <c r="E75" s="130"/>
    </row>
    <row r="76" spans="1:5" x14ac:dyDescent="0.3">
      <c r="A76" s="25"/>
      <c r="B76" s="26"/>
      <c r="C76" s="26">
        <f>B76*1.7</f>
        <v>0</v>
      </c>
      <c r="D76" s="26"/>
      <c r="E76" s="130"/>
    </row>
    <row r="77" spans="1:5" x14ac:dyDescent="0.3">
      <c r="A77" s="25"/>
      <c r="B77" s="26"/>
      <c r="C77" s="26">
        <f>B77*1.6</f>
        <v>0</v>
      </c>
      <c r="D77" s="26"/>
      <c r="E77" s="130"/>
    </row>
    <row r="78" spans="1:5" x14ac:dyDescent="0.3">
      <c r="A78" s="25"/>
      <c r="B78" s="26"/>
      <c r="C78" s="26">
        <f>B78*1.5</f>
        <v>0</v>
      </c>
      <c r="D78" s="26"/>
      <c r="E78" s="130"/>
    </row>
    <row r="79" spans="1:5" x14ac:dyDescent="0.3">
      <c r="A79" s="25"/>
      <c r="B79" s="26"/>
      <c r="C79" s="26">
        <f>B79*1.7</f>
        <v>0</v>
      </c>
      <c r="D79" s="26"/>
      <c r="E79" s="130"/>
    </row>
    <row r="80" spans="1:5" x14ac:dyDescent="0.3">
      <c r="A80" s="25"/>
      <c r="B80" s="26"/>
      <c r="C80" s="26">
        <f>B80*1.6</f>
        <v>0</v>
      </c>
      <c r="D80" s="26"/>
      <c r="E80" s="130"/>
    </row>
    <row r="81" spans="1:5" x14ac:dyDescent="0.3">
      <c r="A81" s="25"/>
      <c r="B81" s="26"/>
      <c r="C81" s="26">
        <f>B81*1.5</f>
        <v>0</v>
      </c>
      <c r="D81" s="26"/>
      <c r="E81" s="130"/>
    </row>
    <row r="82" spans="1:5" x14ac:dyDescent="0.3">
      <c r="A82" s="25"/>
      <c r="B82" s="26"/>
      <c r="C82" s="26">
        <f>B82*1.4</f>
        <v>0</v>
      </c>
      <c r="D82" s="26"/>
      <c r="E82" s="130"/>
    </row>
    <row r="83" spans="1:5" x14ac:dyDescent="0.3">
      <c r="A83" s="25"/>
      <c r="B83" s="26"/>
      <c r="C83" s="26">
        <f>B83*1.5</f>
        <v>0</v>
      </c>
      <c r="D83" s="26"/>
      <c r="E83" s="130"/>
    </row>
    <row r="84" spans="1:5" x14ac:dyDescent="0.3">
      <c r="A84" s="25"/>
      <c r="B84" s="26"/>
      <c r="C84" s="26">
        <f>B84*1.5</f>
        <v>0</v>
      </c>
      <c r="D84" s="26"/>
      <c r="E84" s="130"/>
    </row>
    <row r="85" spans="1:5" x14ac:dyDescent="0.3">
      <c r="A85" s="25"/>
      <c r="B85" s="26"/>
      <c r="C85" s="26">
        <f>B85*1.5</f>
        <v>0</v>
      </c>
      <c r="D85" s="26"/>
      <c r="E85" s="130"/>
    </row>
    <row r="86" spans="1:5" x14ac:dyDescent="0.3">
      <c r="A86" s="25"/>
      <c r="B86" s="26"/>
      <c r="C86" s="26">
        <f>B86*1.7</f>
        <v>0</v>
      </c>
      <c r="D86" s="26"/>
      <c r="E86" s="130"/>
    </row>
    <row r="87" spans="1:5" x14ac:dyDescent="0.3">
      <c r="A87" s="25"/>
      <c r="B87" s="26"/>
      <c r="C87" s="26">
        <f>B87*1.6</f>
        <v>0</v>
      </c>
      <c r="D87" s="26"/>
      <c r="E87" s="130"/>
    </row>
    <row r="88" spans="1:5" x14ac:dyDescent="0.3">
      <c r="A88" s="25"/>
      <c r="B88" s="26"/>
      <c r="C88" s="26">
        <f>B88*1.5</f>
        <v>0</v>
      </c>
      <c r="D88" s="26"/>
      <c r="E88" s="130"/>
    </row>
    <row r="89" spans="1:5" x14ac:dyDescent="0.3">
      <c r="A89" s="25"/>
      <c r="B89" s="26"/>
      <c r="C89" s="26">
        <f>B89*1.4</f>
        <v>0</v>
      </c>
      <c r="D89" s="26"/>
      <c r="E89" s="130"/>
    </row>
    <row r="90" spans="1:5" x14ac:dyDescent="0.3">
      <c r="A90" s="25"/>
      <c r="B90" s="26"/>
      <c r="C90" s="26">
        <f>B90*1.7</f>
        <v>0</v>
      </c>
      <c r="D90" s="26"/>
      <c r="E90" s="130"/>
    </row>
    <row r="91" spans="1:5" x14ac:dyDescent="0.3">
      <c r="A91" s="25"/>
      <c r="B91" s="26"/>
      <c r="C91" s="26">
        <f>B91*1.6</f>
        <v>0</v>
      </c>
      <c r="D91" s="26"/>
      <c r="E91" s="130"/>
    </row>
    <row r="92" spans="1:5" x14ac:dyDescent="0.3">
      <c r="A92" s="25"/>
      <c r="B92" s="26"/>
      <c r="C92" s="26">
        <f>B92*1.5</f>
        <v>0</v>
      </c>
      <c r="D92" s="26"/>
      <c r="E92" s="130"/>
    </row>
    <row r="93" spans="1:5" x14ac:dyDescent="0.3">
      <c r="A93" s="25"/>
      <c r="B93" s="26"/>
      <c r="C93" s="26">
        <f>B93*1.4</f>
        <v>0</v>
      </c>
      <c r="D93" s="26"/>
      <c r="E93" s="130"/>
    </row>
    <row r="94" spans="1:5" x14ac:dyDescent="0.3">
      <c r="A94" s="25"/>
      <c r="B94" s="26"/>
      <c r="C94" s="26">
        <f t="shared" ref="C94:C105" si="0">B94*1.5</f>
        <v>0</v>
      </c>
      <c r="D94" s="26"/>
      <c r="E94" s="130"/>
    </row>
    <row r="95" spans="1:5" x14ac:dyDescent="0.3">
      <c r="A95" s="25"/>
      <c r="B95" s="26"/>
      <c r="C95" s="26">
        <f t="shared" si="0"/>
        <v>0</v>
      </c>
      <c r="D95" s="26"/>
      <c r="E95" s="130"/>
    </row>
    <row r="96" spans="1:5" x14ac:dyDescent="0.3">
      <c r="A96" s="25"/>
      <c r="B96" s="26"/>
      <c r="C96" s="26">
        <f t="shared" si="0"/>
        <v>0</v>
      </c>
      <c r="D96" s="26"/>
      <c r="E96" s="130"/>
    </row>
    <row r="97" spans="1:5" x14ac:dyDescent="0.3">
      <c r="A97" s="25"/>
      <c r="B97" s="26"/>
      <c r="C97" s="26">
        <f t="shared" si="0"/>
        <v>0</v>
      </c>
      <c r="D97" s="26"/>
      <c r="E97" s="130"/>
    </row>
    <row r="98" spans="1:5" x14ac:dyDescent="0.3">
      <c r="A98" s="25"/>
      <c r="B98" s="26"/>
      <c r="C98" s="26">
        <f t="shared" si="0"/>
        <v>0</v>
      </c>
      <c r="D98" s="26"/>
      <c r="E98" s="130"/>
    </row>
    <row r="99" spans="1:5" x14ac:dyDescent="0.3">
      <c r="A99" s="25"/>
      <c r="B99" s="26"/>
      <c r="C99" s="26">
        <f t="shared" si="0"/>
        <v>0</v>
      </c>
      <c r="D99" s="26"/>
      <c r="E99" s="130"/>
    </row>
    <row r="100" spans="1:5" x14ac:dyDescent="0.3">
      <c r="A100" s="25"/>
      <c r="B100" s="26"/>
      <c r="C100" s="26">
        <f t="shared" si="0"/>
        <v>0</v>
      </c>
      <c r="D100" s="26"/>
      <c r="E100" s="130"/>
    </row>
    <row r="101" spans="1:5" x14ac:dyDescent="0.3">
      <c r="A101" s="25"/>
      <c r="B101" s="26"/>
      <c r="C101" s="26">
        <f t="shared" si="0"/>
        <v>0</v>
      </c>
      <c r="D101" s="26"/>
      <c r="E101" s="130"/>
    </row>
    <row r="102" spans="1:5" x14ac:dyDescent="0.3">
      <c r="A102" s="25"/>
      <c r="B102" s="26"/>
      <c r="C102" s="26">
        <f t="shared" si="0"/>
        <v>0</v>
      </c>
      <c r="D102" s="26"/>
      <c r="E102" s="130"/>
    </row>
    <row r="103" spans="1:5" x14ac:dyDescent="0.3">
      <c r="A103" s="25"/>
      <c r="B103" s="26"/>
      <c r="C103" s="26">
        <f t="shared" si="0"/>
        <v>0</v>
      </c>
      <c r="D103" s="26"/>
      <c r="E103" s="130"/>
    </row>
    <row r="104" spans="1:5" x14ac:dyDescent="0.3">
      <c r="A104" s="25"/>
      <c r="B104" s="26"/>
      <c r="C104" s="26">
        <f t="shared" si="0"/>
        <v>0</v>
      </c>
      <c r="D104" s="26"/>
      <c r="E104" s="130"/>
    </row>
    <row r="105" spans="1:5" x14ac:dyDescent="0.3">
      <c r="A105" s="25"/>
      <c r="B105" s="26"/>
      <c r="C105" s="26">
        <f t="shared" si="0"/>
        <v>0</v>
      </c>
      <c r="D105" s="26"/>
      <c r="E105" s="130"/>
    </row>
    <row r="106" spans="1:5" x14ac:dyDescent="0.3">
      <c r="A106" s="25"/>
      <c r="B106" s="26"/>
      <c r="C106" s="26">
        <f>B106*1.6</f>
        <v>0</v>
      </c>
      <c r="D106" s="26"/>
      <c r="E106" s="130"/>
    </row>
    <row r="107" spans="1:5" x14ac:dyDescent="0.3">
      <c r="A107" s="25"/>
      <c r="B107" s="26"/>
      <c r="C107" s="26">
        <f>B107*1.7</f>
        <v>0</v>
      </c>
      <c r="D107" s="26"/>
      <c r="E107" s="130"/>
    </row>
    <row r="108" spans="1:5" x14ac:dyDescent="0.3">
      <c r="A108" s="25"/>
      <c r="B108" s="26"/>
      <c r="C108" s="26">
        <f>B108*1.4</f>
        <v>0</v>
      </c>
      <c r="D108" s="26"/>
      <c r="E108" s="130"/>
    </row>
    <row r="109" spans="1:5" x14ac:dyDescent="0.3">
      <c r="A109" s="25"/>
      <c r="B109" s="26"/>
      <c r="C109" s="26">
        <f>B109*1.5</f>
        <v>0</v>
      </c>
      <c r="D109" s="26"/>
      <c r="E109" s="130"/>
    </row>
    <row r="110" spans="1:5" x14ac:dyDescent="0.3">
      <c r="A110" s="25"/>
      <c r="B110" s="26"/>
      <c r="C110" s="26">
        <f>B110*1.4</f>
        <v>0</v>
      </c>
      <c r="D110" s="26"/>
      <c r="E110" s="130"/>
    </row>
    <row r="111" spans="1:5" x14ac:dyDescent="0.3">
      <c r="A111" s="25"/>
      <c r="B111" s="26"/>
      <c r="C111" s="26">
        <f>B111*1.5</f>
        <v>0</v>
      </c>
      <c r="D111" s="26"/>
      <c r="E111" s="27"/>
    </row>
    <row r="112" spans="1:5" x14ac:dyDescent="0.3">
      <c r="A112" s="25"/>
      <c r="B112" s="26"/>
      <c r="C112" s="26">
        <f>B112*1.7</f>
        <v>0</v>
      </c>
      <c r="D112" s="26"/>
      <c r="E112" s="130"/>
    </row>
    <row r="113" spans="1:5" x14ac:dyDescent="0.3">
      <c r="A113" s="25"/>
      <c r="B113" s="26"/>
      <c r="C113" s="26">
        <f>B113*1.6</f>
        <v>0</v>
      </c>
      <c r="D113" s="26"/>
      <c r="E113" s="130"/>
    </row>
    <row r="114" spans="1:5" x14ac:dyDescent="0.3">
      <c r="A114" s="25"/>
      <c r="B114" s="26"/>
      <c r="C114" s="26">
        <f>B114*1.4</f>
        <v>0</v>
      </c>
      <c r="D114" s="26"/>
      <c r="E114" s="130"/>
    </row>
    <row r="115" spans="1:5" x14ac:dyDescent="0.3">
      <c r="A115" s="25"/>
      <c r="B115" s="26"/>
      <c r="C115" s="26">
        <f>B115*1.7</f>
        <v>0</v>
      </c>
      <c r="D115" s="26"/>
      <c r="E115" s="130"/>
    </row>
    <row r="116" spans="1:5" x14ac:dyDescent="0.3">
      <c r="A116" s="25"/>
      <c r="B116" s="26"/>
      <c r="C116" s="26">
        <f>B116*1.6</f>
        <v>0</v>
      </c>
      <c r="D116" s="26"/>
      <c r="E116" s="130"/>
    </row>
    <row r="117" spans="1:5" x14ac:dyDescent="0.3">
      <c r="A117" s="25"/>
      <c r="B117" s="26"/>
      <c r="C117" s="26">
        <f>B117*1.5</f>
        <v>0</v>
      </c>
      <c r="D117" s="26"/>
      <c r="E117" s="130"/>
    </row>
    <row r="118" spans="1:5" x14ac:dyDescent="0.3">
      <c r="A118" s="25"/>
      <c r="B118" s="26"/>
      <c r="C118" s="26">
        <f>B118*1.5</f>
        <v>0</v>
      </c>
      <c r="D118" s="26"/>
      <c r="E118" s="130"/>
    </row>
    <row r="119" spans="1:5" x14ac:dyDescent="0.3">
      <c r="A119" s="25"/>
      <c r="B119" s="26"/>
      <c r="C119" s="26">
        <f>B119*1.4</f>
        <v>0</v>
      </c>
      <c r="D119" s="26"/>
      <c r="E119" s="130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1">B137*1.5</f>
        <v>0</v>
      </c>
      <c r="D137" s="26"/>
      <c r="E137" s="130"/>
    </row>
    <row r="138" spans="1:5" x14ac:dyDescent="0.3">
      <c r="A138" s="25"/>
      <c r="B138" s="26"/>
      <c r="C138" s="26">
        <f t="shared" si="1"/>
        <v>0</v>
      </c>
      <c r="D138" s="26"/>
      <c r="E138" s="130"/>
    </row>
    <row r="139" spans="1:5" x14ac:dyDescent="0.3">
      <c r="A139" s="25"/>
      <c r="B139" s="26"/>
      <c r="C139" s="26">
        <f t="shared" si="1"/>
        <v>0</v>
      </c>
      <c r="D139" s="26"/>
      <c r="E139" s="130"/>
    </row>
    <row r="140" spans="1:5" x14ac:dyDescent="0.3">
      <c r="A140" s="25"/>
      <c r="B140" s="26"/>
      <c r="C140" s="26">
        <f t="shared" si="1"/>
        <v>0</v>
      </c>
      <c r="D140" s="26"/>
      <c r="E140" s="130"/>
    </row>
    <row r="141" spans="1:5" x14ac:dyDescent="0.3">
      <c r="A141" s="25"/>
      <c r="B141" s="26"/>
      <c r="C141" s="26">
        <f t="shared" si="1"/>
        <v>0</v>
      </c>
      <c r="D141" s="26"/>
      <c r="E141" s="130"/>
    </row>
    <row r="142" spans="1:5" x14ac:dyDescent="0.3">
      <c r="A142" s="25"/>
      <c r="B142" s="26"/>
      <c r="C142" s="26">
        <f t="shared" si="1"/>
        <v>0</v>
      </c>
      <c r="D142" s="26"/>
      <c r="E142" s="130"/>
    </row>
    <row r="143" spans="1:5" x14ac:dyDescent="0.3">
      <c r="A143" s="25"/>
      <c r="B143" s="26"/>
      <c r="C143" s="26">
        <f t="shared" si="1"/>
        <v>0</v>
      </c>
      <c r="D143" s="26"/>
      <c r="E143" s="130"/>
    </row>
    <row r="144" spans="1:5" x14ac:dyDescent="0.3">
      <c r="A144" s="25"/>
      <c r="B144" s="26"/>
      <c r="C144" s="26">
        <f t="shared" si="1"/>
        <v>0</v>
      </c>
      <c r="D144" s="26"/>
      <c r="E144" s="130"/>
    </row>
    <row r="145" spans="1:5" x14ac:dyDescent="0.3">
      <c r="A145" s="25"/>
      <c r="B145" s="26"/>
      <c r="C145" s="26">
        <f t="shared" si="1"/>
        <v>0</v>
      </c>
      <c r="D145" s="26"/>
      <c r="E145" s="130"/>
    </row>
    <row r="146" spans="1:5" x14ac:dyDescent="0.3">
      <c r="A146" s="25"/>
      <c r="B146" s="26"/>
      <c r="C146" s="26">
        <f t="shared" si="1"/>
        <v>0</v>
      </c>
      <c r="D146" s="26"/>
      <c r="E146" s="130"/>
    </row>
    <row r="147" spans="1:5" x14ac:dyDescent="0.3">
      <c r="A147" s="25"/>
      <c r="B147" s="26"/>
      <c r="C147" s="26">
        <f t="shared" si="1"/>
        <v>0</v>
      </c>
      <c r="D147" s="26"/>
      <c r="E147" s="130"/>
    </row>
    <row r="148" spans="1:5" x14ac:dyDescent="0.3">
      <c r="A148" s="25"/>
      <c r="B148" s="26"/>
      <c r="C148" s="26">
        <f t="shared" si="1"/>
        <v>0</v>
      </c>
      <c r="D148" s="26"/>
      <c r="E148" s="130"/>
    </row>
    <row r="149" spans="1:5" x14ac:dyDescent="0.3">
      <c r="A149" s="25"/>
      <c r="B149" s="26"/>
      <c r="C149" s="26">
        <f t="shared" si="1"/>
        <v>0</v>
      </c>
      <c r="D149" s="26"/>
      <c r="E149" s="130"/>
    </row>
    <row r="150" spans="1:5" x14ac:dyDescent="0.3">
      <c r="A150" s="25"/>
      <c r="B150" s="26"/>
      <c r="C150" s="26">
        <f t="shared" si="1"/>
        <v>0</v>
      </c>
      <c r="D150" s="26"/>
      <c r="E150" s="27"/>
    </row>
    <row r="151" spans="1:5" x14ac:dyDescent="0.3">
      <c r="A151" s="25"/>
      <c r="B151" s="26"/>
      <c r="C151" s="26">
        <f t="shared" si="1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1D6A9-296B-42F0-963B-D6C7017AE64A}">
  <sheetPr codeName="Hoja22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57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68" t="s">
        <v>592</v>
      </c>
      <c r="B2" s="68">
        <v>4650</v>
      </c>
      <c r="C2" s="69">
        <f>B2*1.6</f>
        <v>7440</v>
      </c>
      <c r="D2" s="69">
        <v>6900</v>
      </c>
      <c r="E2" s="69">
        <v>4400</v>
      </c>
    </row>
    <row r="3" spans="1:5" x14ac:dyDescent="0.3">
      <c r="A3" t="s">
        <v>988</v>
      </c>
      <c r="B3" s="3">
        <v>3600</v>
      </c>
      <c r="C3" s="3">
        <f>B3*1.6</f>
        <v>5760</v>
      </c>
      <c r="D3" s="3">
        <v>5900</v>
      </c>
      <c r="E3" s="180"/>
    </row>
    <row r="4" spans="1:5" x14ac:dyDescent="0.3">
      <c r="A4" t="s">
        <v>565</v>
      </c>
      <c r="B4" s="3">
        <v>6800</v>
      </c>
      <c r="C4" s="3">
        <f>B4*1.4</f>
        <v>9520</v>
      </c>
      <c r="D4" s="3">
        <v>9500</v>
      </c>
      <c r="E4" s="145">
        <v>6580</v>
      </c>
    </row>
    <row r="5" spans="1:5" x14ac:dyDescent="0.3">
      <c r="A5" t="s">
        <v>567</v>
      </c>
      <c r="B5" s="3">
        <v>1750</v>
      </c>
      <c r="C5" s="3">
        <f>B5*1.6</f>
        <v>2800</v>
      </c>
      <c r="D5" s="3">
        <v>2800</v>
      </c>
      <c r="E5" s="145"/>
    </row>
    <row r="6" spans="1:5" x14ac:dyDescent="0.3">
      <c r="A6" t="s">
        <v>566</v>
      </c>
      <c r="B6" s="3">
        <v>3450</v>
      </c>
      <c r="C6" s="3">
        <f>B6*1.5</f>
        <v>5175</v>
      </c>
      <c r="D6" s="3">
        <v>5200</v>
      </c>
      <c r="E6" s="145"/>
    </row>
    <row r="7" spans="1:5" x14ac:dyDescent="0.3">
      <c r="A7" s="64" t="s">
        <v>215</v>
      </c>
      <c r="B7" s="155">
        <v>3900</v>
      </c>
      <c r="C7" s="65">
        <f>B7*1.5</f>
        <v>5850</v>
      </c>
      <c r="D7" s="156">
        <v>5850</v>
      </c>
      <c r="E7" s="65"/>
    </row>
    <row r="8" spans="1:5" x14ac:dyDescent="0.3">
      <c r="A8" s="34" t="s">
        <v>213</v>
      </c>
      <c r="B8" s="135">
        <v>1020</v>
      </c>
      <c r="C8" s="35">
        <f>B8*1.7</f>
        <v>1734</v>
      </c>
      <c r="D8" s="35">
        <v>1700</v>
      </c>
      <c r="E8" s="35"/>
    </row>
    <row r="9" spans="1:5" x14ac:dyDescent="0.3">
      <c r="A9" s="64" t="s">
        <v>214</v>
      </c>
      <c r="B9" s="157">
        <v>1960</v>
      </c>
      <c r="C9" s="65">
        <f>B9*1.6</f>
        <v>3136</v>
      </c>
      <c r="D9" s="65">
        <v>3200</v>
      </c>
      <c r="E9" s="65">
        <v>3685</v>
      </c>
    </row>
    <row r="10" spans="1:5" x14ac:dyDescent="0.3">
      <c r="A10" s="54" t="s">
        <v>813</v>
      </c>
      <c r="B10" s="55">
        <v>1400</v>
      </c>
      <c r="C10" s="55">
        <f>B10*1.8</f>
        <v>2520</v>
      </c>
      <c r="D10" s="55">
        <v>2500</v>
      </c>
      <c r="E10" s="55">
        <v>1716</v>
      </c>
    </row>
    <row r="11" spans="1:5" x14ac:dyDescent="0.3">
      <c r="A11" s="54" t="s">
        <v>814</v>
      </c>
      <c r="B11" s="137">
        <v>750</v>
      </c>
      <c r="C11" s="55">
        <f>B11*1.6</f>
        <v>1200</v>
      </c>
      <c r="D11" s="55">
        <v>1400</v>
      </c>
      <c r="E11" s="55"/>
    </row>
    <row r="12" spans="1:5" x14ac:dyDescent="0.3">
      <c r="A12" s="52" t="s">
        <v>180</v>
      </c>
      <c r="B12" s="138">
        <v>1000</v>
      </c>
      <c r="C12" s="53">
        <f>B12*1.6</f>
        <v>1600</v>
      </c>
      <c r="D12" s="53">
        <v>1600</v>
      </c>
      <c r="E12" s="53"/>
    </row>
    <row r="13" spans="1:5" x14ac:dyDescent="0.3">
      <c r="A13" s="52" t="s">
        <v>179</v>
      </c>
      <c r="B13" s="138">
        <v>1970</v>
      </c>
      <c r="C13" s="53">
        <f>B13*1.5</f>
        <v>2955</v>
      </c>
      <c r="D13" s="53">
        <v>2950</v>
      </c>
      <c r="E13" s="53">
        <v>3685</v>
      </c>
    </row>
    <row r="14" spans="1:5" x14ac:dyDescent="0.3">
      <c r="A14" s="34" t="s">
        <v>1032</v>
      </c>
      <c r="B14" s="35">
        <v>630</v>
      </c>
      <c r="C14" s="35">
        <f>B14*1.7</f>
        <v>1071</v>
      </c>
      <c r="D14" s="35">
        <v>1100</v>
      </c>
      <c r="E14" s="73">
        <v>300</v>
      </c>
    </row>
    <row r="15" spans="1:5" x14ac:dyDescent="0.3">
      <c r="A15" s="34" t="s">
        <v>1031</v>
      </c>
      <c r="B15" s="135">
        <v>1250</v>
      </c>
      <c r="C15" s="35">
        <f>B15*1.6</f>
        <v>2000</v>
      </c>
      <c r="D15" s="35">
        <v>2000</v>
      </c>
      <c r="E15" s="35"/>
    </row>
    <row r="16" spans="1:5" x14ac:dyDescent="0.3">
      <c r="A16" s="34" t="s">
        <v>1030</v>
      </c>
      <c r="B16" s="135">
        <v>2500</v>
      </c>
      <c r="C16" s="35">
        <f>B16*1.5</f>
        <v>3750</v>
      </c>
      <c r="D16" s="35">
        <v>3750</v>
      </c>
      <c r="E16" s="35">
        <v>2380</v>
      </c>
    </row>
    <row r="17" spans="1:5" x14ac:dyDescent="0.3">
      <c r="A17" s="98" t="s">
        <v>1279</v>
      </c>
      <c r="B17" s="99">
        <v>2000</v>
      </c>
      <c r="C17" s="99">
        <f>B17*1.5</f>
        <v>3000</v>
      </c>
      <c r="D17" s="99">
        <v>2800</v>
      </c>
      <c r="E17" s="115">
        <v>1950</v>
      </c>
    </row>
    <row r="18" spans="1:5" x14ac:dyDescent="0.3">
      <c r="A18" s="98" t="s">
        <v>1278</v>
      </c>
      <c r="B18" s="99">
        <v>1025</v>
      </c>
      <c r="C18" s="99">
        <f>B18*1.6</f>
        <v>1640</v>
      </c>
      <c r="D18" s="99">
        <v>1500</v>
      </c>
      <c r="E18" s="99"/>
    </row>
    <row r="19" spans="1:5" x14ac:dyDescent="0.3">
      <c r="A19" s="6" t="s">
        <v>172</v>
      </c>
      <c r="B19" s="136">
        <v>1550</v>
      </c>
      <c r="C19" s="7">
        <f>B19*1.5</f>
        <v>2325</v>
      </c>
      <c r="D19" s="7">
        <v>2350</v>
      </c>
      <c r="E19" s="7">
        <v>1500</v>
      </c>
    </row>
    <row r="20" spans="1:5" x14ac:dyDescent="0.3">
      <c r="A20" s="54" t="s">
        <v>174</v>
      </c>
      <c r="B20" s="137">
        <v>420</v>
      </c>
      <c r="C20" s="55">
        <f>B20*1.7</f>
        <v>714</v>
      </c>
      <c r="D20" s="55">
        <v>750</v>
      </c>
      <c r="E20" s="55"/>
    </row>
    <row r="21" spans="1:5" x14ac:dyDescent="0.3">
      <c r="A21" s="6" t="s">
        <v>173</v>
      </c>
      <c r="B21" s="7">
        <v>800</v>
      </c>
      <c r="C21" s="7">
        <f>B21*1.6</f>
        <v>1280</v>
      </c>
      <c r="D21" s="7">
        <v>1300</v>
      </c>
      <c r="E21" s="14"/>
    </row>
    <row r="22" spans="1:5" x14ac:dyDescent="0.3">
      <c r="A22" s="48" t="s">
        <v>496</v>
      </c>
      <c r="B22" s="139">
        <v>260</v>
      </c>
      <c r="C22" s="49">
        <f>B22*1.5</f>
        <v>390</v>
      </c>
      <c r="D22" s="49">
        <v>450</v>
      </c>
      <c r="E22" s="49"/>
    </row>
    <row r="23" spans="1:5" x14ac:dyDescent="0.3">
      <c r="A23" s="52" t="s">
        <v>495</v>
      </c>
      <c r="B23" s="138">
        <v>470</v>
      </c>
      <c r="C23" s="53">
        <f>B23*1.5</f>
        <v>705</v>
      </c>
      <c r="D23" s="53">
        <v>800</v>
      </c>
      <c r="E23" s="53"/>
    </row>
    <row r="24" spans="1:5" x14ac:dyDescent="0.3">
      <c r="A24" s="48" t="s">
        <v>494</v>
      </c>
      <c r="B24" s="139">
        <v>900</v>
      </c>
      <c r="C24" s="49">
        <f>B24*1.5</f>
        <v>1350</v>
      </c>
      <c r="D24" s="49">
        <v>1400</v>
      </c>
      <c r="E24" s="49">
        <v>810</v>
      </c>
    </row>
    <row r="25" spans="1:5" x14ac:dyDescent="0.3">
      <c r="A25" s="71" t="s">
        <v>952</v>
      </c>
      <c r="B25" s="72">
        <v>600</v>
      </c>
      <c r="C25" s="72">
        <f>B25*1.6</f>
        <v>960</v>
      </c>
      <c r="D25" s="72">
        <v>1000</v>
      </c>
      <c r="E25" s="83"/>
    </row>
    <row r="26" spans="1:5" x14ac:dyDescent="0.3">
      <c r="A26" s="54" t="s">
        <v>951</v>
      </c>
      <c r="B26" s="54">
        <v>1150</v>
      </c>
      <c r="C26" s="55">
        <f>B26*1.5</f>
        <v>1725</v>
      </c>
      <c r="D26" s="55">
        <v>1800</v>
      </c>
      <c r="E26" s="55"/>
    </row>
    <row r="27" spans="1:5" x14ac:dyDescent="0.3">
      <c r="A27" s="71" t="s">
        <v>950</v>
      </c>
      <c r="B27" s="71">
        <v>2250</v>
      </c>
      <c r="C27" s="72">
        <f>B27*1.4</f>
        <v>3150</v>
      </c>
      <c r="D27" s="72">
        <v>3200</v>
      </c>
      <c r="E27" s="72">
        <v>1834</v>
      </c>
    </row>
    <row r="28" spans="1:5" x14ac:dyDescent="0.3">
      <c r="A28" s="34" t="s">
        <v>949</v>
      </c>
      <c r="B28" s="34">
        <v>1550</v>
      </c>
      <c r="C28" s="7">
        <f>B28*1.6</f>
        <v>2480</v>
      </c>
      <c r="D28" s="35">
        <v>2500</v>
      </c>
      <c r="E28" s="35"/>
    </row>
    <row r="29" spans="1:5" x14ac:dyDescent="0.3">
      <c r="A29" s="34" t="s">
        <v>948</v>
      </c>
      <c r="B29" s="34">
        <v>3050</v>
      </c>
      <c r="C29" s="7">
        <f>B29*1.5</f>
        <v>4575</v>
      </c>
      <c r="D29" s="35">
        <v>4600</v>
      </c>
      <c r="E29" s="35"/>
    </row>
    <row r="30" spans="1:5" x14ac:dyDescent="0.3">
      <c r="A30" s="34" t="s">
        <v>947</v>
      </c>
      <c r="B30" s="34">
        <v>6000</v>
      </c>
      <c r="C30" s="7">
        <f>B30*1.4</f>
        <v>8400</v>
      </c>
      <c r="D30" s="35">
        <v>8400</v>
      </c>
      <c r="E30" s="35">
        <v>2500</v>
      </c>
    </row>
    <row r="31" spans="1:5" x14ac:dyDescent="0.3">
      <c r="A31" s="68" t="s">
        <v>1104</v>
      </c>
      <c r="B31" s="68">
        <v>2250</v>
      </c>
      <c r="C31" s="7">
        <f>B31*1.5</f>
        <v>3375</v>
      </c>
      <c r="D31" s="69">
        <v>3400</v>
      </c>
      <c r="E31" s="69">
        <v>2327</v>
      </c>
    </row>
    <row r="32" spans="1:5" x14ac:dyDescent="0.3">
      <c r="A32" s="68" t="s">
        <v>1105</v>
      </c>
      <c r="B32" s="69">
        <v>612</v>
      </c>
      <c r="C32" s="7">
        <f>B32*1.7</f>
        <v>1040.3999999999999</v>
      </c>
      <c r="D32" s="69">
        <v>1100</v>
      </c>
      <c r="E32" s="70"/>
    </row>
    <row r="33" spans="1:5" x14ac:dyDescent="0.3">
      <c r="A33" s="68" t="s">
        <v>1106</v>
      </c>
      <c r="B33" s="68">
        <v>1150</v>
      </c>
      <c r="C33" s="7">
        <f>B33*1.6</f>
        <v>1840</v>
      </c>
      <c r="D33" s="69">
        <v>1850</v>
      </c>
      <c r="E33" s="69"/>
    </row>
    <row r="34" spans="1:5" x14ac:dyDescent="0.3">
      <c r="A34" s="54" t="s">
        <v>145</v>
      </c>
      <c r="B34" s="54">
        <v>2000</v>
      </c>
      <c r="C34" s="55">
        <f>B34*1.5</f>
        <v>3000</v>
      </c>
      <c r="D34" s="55">
        <v>3000</v>
      </c>
      <c r="E34" s="55"/>
    </row>
    <row r="35" spans="1:5" x14ac:dyDescent="0.3">
      <c r="A35" s="54" t="s">
        <v>146</v>
      </c>
      <c r="B35" s="55">
        <v>500</v>
      </c>
      <c r="C35" s="55">
        <f>B35*1.7</f>
        <v>850</v>
      </c>
      <c r="D35" s="55">
        <v>850</v>
      </c>
      <c r="E35" s="93">
        <v>1150</v>
      </c>
    </row>
    <row r="36" spans="1:5" x14ac:dyDescent="0.3">
      <c r="A36" s="54" t="s">
        <v>147</v>
      </c>
      <c r="B36" s="54">
        <v>1000</v>
      </c>
      <c r="C36" s="55">
        <f>B36*1.6</f>
        <v>1600</v>
      </c>
      <c r="D36" s="55">
        <v>1600</v>
      </c>
      <c r="E36" s="55">
        <v>2400</v>
      </c>
    </row>
    <row r="37" spans="1:5" x14ac:dyDescent="0.3">
      <c r="A37" s="48" t="s">
        <v>823</v>
      </c>
      <c r="B37" s="139">
        <v>400</v>
      </c>
      <c r="C37" s="49">
        <f>B37*1.7</f>
        <v>680</v>
      </c>
      <c r="D37" s="49">
        <v>700</v>
      </c>
      <c r="E37" s="49"/>
    </row>
    <row r="38" spans="1:5" x14ac:dyDescent="0.3">
      <c r="A38" s="52" t="s">
        <v>824</v>
      </c>
      <c r="B38" s="138">
        <v>750</v>
      </c>
      <c r="C38" s="53">
        <f>B38*1.6</f>
        <v>1200</v>
      </c>
      <c r="D38" s="53">
        <v>1200</v>
      </c>
      <c r="E38" s="53"/>
    </row>
    <row r="39" spans="1:5" x14ac:dyDescent="0.3">
      <c r="A39" s="48" t="s">
        <v>822</v>
      </c>
      <c r="B39" s="139">
        <v>1450</v>
      </c>
      <c r="C39" s="49">
        <f>B39*1.5</f>
        <v>2175</v>
      </c>
      <c r="D39" s="49">
        <v>2200</v>
      </c>
      <c r="E39" s="49">
        <v>1400</v>
      </c>
    </row>
    <row r="40" spans="1:5" x14ac:dyDescent="0.3">
      <c r="A40" s="6" t="s">
        <v>152</v>
      </c>
      <c r="B40" s="6">
        <v>280</v>
      </c>
      <c r="C40" s="7">
        <f>B40*1.7</f>
        <v>476</v>
      </c>
      <c r="D40" s="7">
        <v>500</v>
      </c>
      <c r="E40" s="7">
        <v>1825</v>
      </c>
    </row>
    <row r="41" spans="1:5" x14ac:dyDescent="0.3">
      <c r="A41" s="6" t="s">
        <v>153</v>
      </c>
      <c r="B41" s="6">
        <v>510</v>
      </c>
      <c r="C41" s="7">
        <f>B41*1.6</f>
        <v>816</v>
      </c>
      <c r="D41" s="7">
        <v>850</v>
      </c>
      <c r="E41" s="7"/>
    </row>
    <row r="42" spans="1:5" x14ac:dyDescent="0.3">
      <c r="A42" t="s">
        <v>301</v>
      </c>
      <c r="B42" s="3">
        <v>2530</v>
      </c>
      <c r="C42" s="3">
        <f>B42*1.5</f>
        <v>3795</v>
      </c>
      <c r="D42" s="3">
        <v>3800</v>
      </c>
      <c r="E42" s="145">
        <v>2365</v>
      </c>
    </row>
    <row r="43" spans="1:5" x14ac:dyDescent="0.3">
      <c r="A43" t="s">
        <v>302</v>
      </c>
      <c r="B43" s="3">
        <v>1300</v>
      </c>
      <c r="C43" s="3">
        <f>B43*1.6</f>
        <v>2080</v>
      </c>
      <c r="D43" s="3">
        <v>2000</v>
      </c>
      <c r="E43" s="145"/>
    </row>
    <row r="44" spans="1:5" x14ac:dyDescent="0.3">
      <c r="A44" s="196" t="s">
        <v>794</v>
      </c>
      <c r="B44" s="197">
        <v>500</v>
      </c>
      <c r="C44" s="197">
        <f>B44*1.7</f>
        <v>850</v>
      </c>
      <c r="D44" s="197">
        <v>850</v>
      </c>
      <c r="E44" s="198"/>
    </row>
    <row r="45" spans="1:5" x14ac:dyDescent="0.3">
      <c r="A45" s="129" t="s">
        <v>792</v>
      </c>
      <c r="B45" s="199">
        <v>800</v>
      </c>
      <c r="C45" s="199">
        <f>B45*1.6</f>
        <v>1280</v>
      </c>
      <c r="D45" s="199">
        <v>1300</v>
      </c>
      <c r="E45" s="200"/>
    </row>
    <row r="46" spans="1:5" x14ac:dyDescent="0.3">
      <c r="A46" s="196" t="s">
        <v>791</v>
      </c>
      <c r="B46" s="197">
        <v>1550</v>
      </c>
      <c r="C46" s="197">
        <f>B46*1.5</f>
        <v>2325</v>
      </c>
      <c r="D46" s="197">
        <v>2350</v>
      </c>
      <c r="E46" s="198"/>
    </row>
    <row r="47" spans="1:5" x14ac:dyDescent="0.3">
      <c r="A47" s="129" t="s">
        <v>793</v>
      </c>
      <c r="B47" s="199">
        <v>3000</v>
      </c>
      <c r="C47" s="199">
        <f>B47*1.4</f>
        <v>4200</v>
      </c>
      <c r="D47" s="199">
        <v>4200</v>
      </c>
      <c r="E47" s="200">
        <v>2930</v>
      </c>
    </row>
    <row r="48" spans="1:5" x14ac:dyDescent="0.3">
      <c r="A48" s="201" t="s">
        <v>838</v>
      </c>
      <c r="B48" s="202">
        <v>200</v>
      </c>
      <c r="C48" s="202">
        <f>B48*1.7</f>
        <v>340</v>
      </c>
      <c r="D48" s="202">
        <v>450</v>
      </c>
      <c r="E48" s="203"/>
    </row>
    <row r="49" spans="1:5" x14ac:dyDescent="0.3">
      <c r="A49" s="13" t="s">
        <v>837</v>
      </c>
      <c r="B49" s="204">
        <v>400</v>
      </c>
      <c r="C49" s="204">
        <f>B49*1.6</f>
        <v>640</v>
      </c>
      <c r="D49" s="204">
        <v>650</v>
      </c>
      <c r="E49" s="205"/>
    </row>
    <row r="50" spans="1:5" x14ac:dyDescent="0.3">
      <c r="A50" s="201" t="s">
        <v>836</v>
      </c>
      <c r="B50" s="202">
        <v>800</v>
      </c>
      <c r="C50" s="202">
        <f>B50*1.5</f>
        <v>1200</v>
      </c>
      <c r="D50" s="202">
        <v>1200</v>
      </c>
      <c r="E50" s="203"/>
    </row>
    <row r="51" spans="1:5" x14ac:dyDescent="0.3">
      <c r="A51" s="13" t="s">
        <v>835</v>
      </c>
      <c r="B51" s="204">
        <v>1600</v>
      </c>
      <c r="C51" s="204">
        <f>B51*1.4</f>
        <v>2240</v>
      </c>
      <c r="D51" s="204">
        <v>2200</v>
      </c>
      <c r="E51" s="205">
        <v>1400</v>
      </c>
    </row>
    <row r="52" spans="1:5" x14ac:dyDescent="0.3">
      <c r="A52" s="6" t="s">
        <v>226</v>
      </c>
      <c r="B52" s="7">
        <v>850</v>
      </c>
      <c r="C52" s="7">
        <f>B52*1.6</f>
        <v>1360</v>
      </c>
      <c r="D52" s="7">
        <v>1400</v>
      </c>
      <c r="E52" s="14"/>
    </row>
    <row r="53" spans="1:5" x14ac:dyDescent="0.3">
      <c r="A53" s="71" t="s">
        <v>1025</v>
      </c>
      <c r="B53" s="71">
        <v>1880</v>
      </c>
      <c r="C53" s="72">
        <f>B53*1.5</f>
        <v>2820</v>
      </c>
      <c r="D53" s="72">
        <v>2900</v>
      </c>
      <c r="E53" s="72"/>
    </row>
    <row r="54" spans="1:5" x14ac:dyDescent="0.3">
      <c r="A54" s="71" t="s">
        <v>1026</v>
      </c>
      <c r="B54" s="72">
        <v>520</v>
      </c>
      <c r="C54" s="72">
        <f>B54*1.7</f>
        <v>884</v>
      </c>
      <c r="D54" s="72">
        <v>900</v>
      </c>
      <c r="E54" s="83"/>
    </row>
    <row r="55" spans="1:5" x14ac:dyDescent="0.3">
      <c r="A55" s="71" t="s">
        <v>1027</v>
      </c>
      <c r="B55" s="71">
        <v>990</v>
      </c>
      <c r="C55" s="72">
        <f>B55*1.6</f>
        <v>1584</v>
      </c>
      <c r="D55" s="72">
        <v>1600</v>
      </c>
      <c r="E55" s="72"/>
    </row>
    <row r="56" spans="1:5" x14ac:dyDescent="0.3">
      <c r="A56" s="85" t="s">
        <v>427</v>
      </c>
      <c r="B56" s="85">
        <v>1850</v>
      </c>
      <c r="C56" s="86">
        <f>B56*1.5</f>
        <v>2775</v>
      </c>
      <c r="D56" s="86">
        <v>2750</v>
      </c>
      <c r="E56" s="86">
        <v>1800</v>
      </c>
    </row>
    <row r="57" spans="1:5" x14ac:dyDescent="0.3">
      <c r="A57" s="85" t="s">
        <v>428</v>
      </c>
      <c r="B57" s="86">
        <v>500</v>
      </c>
      <c r="C57" s="86">
        <f>B57*1.7</f>
        <v>850</v>
      </c>
      <c r="D57" s="86">
        <v>850</v>
      </c>
      <c r="E57" s="106"/>
    </row>
    <row r="58" spans="1:5" x14ac:dyDescent="0.3">
      <c r="A58" s="85" t="s">
        <v>429</v>
      </c>
      <c r="B58" s="85">
        <v>950</v>
      </c>
      <c r="C58" s="86">
        <f>B58*1.6</f>
        <v>1520</v>
      </c>
      <c r="D58" s="86">
        <v>1500</v>
      </c>
      <c r="E58" s="86"/>
    </row>
    <row r="59" spans="1:5" x14ac:dyDescent="0.3">
      <c r="A59" s="34" t="s">
        <v>663</v>
      </c>
      <c r="B59" s="34">
        <v>2550</v>
      </c>
      <c r="C59" s="35">
        <f>B59*1.5</f>
        <v>3825</v>
      </c>
      <c r="D59" s="35">
        <v>3800</v>
      </c>
      <c r="E59" s="35">
        <v>2500</v>
      </c>
    </row>
    <row r="60" spans="1:5" x14ac:dyDescent="0.3">
      <c r="A60" s="66" t="s">
        <v>665</v>
      </c>
      <c r="B60" s="66">
        <v>675</v>
      </c>
      <c r="C60" s="67">
        <f>B60*1.7</f>
        <v>1147.5</v>
      </c>
      <c r="D60" s="67">
        <v>1150</v>
      </c>
      <c r="E60" s="67"/>
    </row>
    <row r="61" spans="1:5" x14ac:dyDescent="0.3">
      <c r="A61" s="34" t="s">
        <v>664</v>
      </c>
      <c r="B61" s="34">
        <v>1300</v>
      </c>
      <c r="C61" s="35">
        <f>B61*1.6</f>
        <v>2080</v>
      </c>
      <c r="D61" s="35">
        <v>2100</v>
      </c>
      <c r="E61" s="35"/>
    </row>
    <row r="62" spans="1:5" x14ac:dyDescent="0.3">
      <c r="A62" s="6" t="s">
        <v>1028</v>
      </c>
      <c r="B62" s="6">
        <v>750</v>
      </c>
      <c r="C62" s="7">
        <f>B62*1.6</f>
        <v>1200</v>
      </c>
      <c r="D62" s="7">
        <v>1200</v>
      </c>
      <c r="E62" s="7">
        <v>650</v>
      </c>
    </row>
    <row r="63" spans="1:5" x14ac:dyDescent="0.3">
      <c r="A63" s="6" t="s">
        <v>1029</v>
      </c>
      <c r="B63" s="6">
        <v>400</v>
      </c>
      <c r="C63" s="7">
        <f>B63*1.7</f>
        <v>680</v>
      </c>
      <c r="D63" s="7">
        <v>700</v>
      </c>
      <c r="E63" s="7"/>
    </row>
    <row r="64" spans="1:5" x14ac:dyDescent="0.3">
      <c r="A64" s="87" t="s">
        <v>449</v>
      </c>
      <c r="B64" s="87">
        <v>1450</v>
      </c>
      <c r="C64" s="88">
        <f>B64*1.6</f>
        <v>2320</v>
      </c>
      <c r="D64" s="88">
        <v>2300</v>
      </c>
      <c r="E64" s="88">
        <v>1400</v>
      </c>
    </row>
    <row r="65" spans="1:5" x14ac:dyDescent="0.3">
      <c r="A65" s="87" t="s">
        <v>450</v>
      </c>
      <c r="B65" s="88">
        <v>400</v>
      </c>
      <c r="C65" s="88">
        <f>B65*1.8</f>
        <v>720</v>
      </c>
      <c r="D65" s="88">
        <v>700</v>
      </c>
      <c r="E65" s="89"/>
    </row>
    <row r="66" spans="1:5" x14ac:dyDescent="0.3">
      <c r="A66" s="87" t="s">
        <v>451</v>
      </c>
      <c r="B66" s="87">
        <v>750</v>
      </c>
      <c r="C66" s="88">
        <f>B66*1.7</f>
        <v>1275</v>
      </c>
      <c r="D66" s="88">
        <v>1300</v>
      </c>
      <c r="E66" s="88"/>
    </row>
    <row r="67" spans="1:5" x14ac:dyDescent="0.3">
      <c r="A67" s="64" t="s">
        <v>661</v>
      </c>
      <c r="B67" s="65">
        <v>2350</v>
      </c>
      <c r="C67" s="65">
        <f>B67*1.6</f>
        <v>3760</v>
      </c>
      <c r="D67" s="65">
        <v>3800</v>
      </c>
      <c r="E67" s="65">
        <v>2300</v>
      </c>
    </row>
    <row r="68" spans="1:5" x14ac:dyDescent="0.3">
      <c r="A68" s="64" t="s">
        <v>662</v>
      </c>
      <c r="B68" s="65">
        <v>1200</v>
      </c>
      <c r="C68" s="65">
        <f>B68*1.8</f>
        <v>2160</v>
      </c>
      <c r="D68" s="65">
        <v>2150</v>
      </c>
      <c r="E68" s="108"/>
    </row>
    <row r="69" spans="1:5" x14ac:dyDescent="0.3">
      <c r="A69" s="48" t="s">
        <v>649</v>
      </c>
      <c r="B69" s="49">
        <v>1325</v>
      </c>
      <c r="C69" s="49">
        <f>B69*1.6</f>
        <v>2120</v>
      </c>
      <c r="D69" s="49">
        <v>2150</v>
      </c>
      <c r="E69" s="105"/>
    </row>
    <row r="70" spans="1:5" x14ac:dyDescent="0.3">
      <c r="A70" s="48" t="s">
        <v>648</v>
      </c>
      <c r="B70" s="48">
        <v>2600</v>
      </c>
      <c r="C70" s="49">
        <f>B70*1.5</f>
        <v>3900</v>
      </c>
      <c r="D70" s="49">
        <v>3900</v>
      </c>
      <c r="E70" s="49"/>
    </row>
    <row r="71" spans="1:5" x14ac:dyDescent="0.3">
      <c r="A71" s="48" t="s">
        <v>647</v>
      </c>
      <c r="B71" s="48">
        <v>5150</v>
      </c>
      <c r="C71" s="49">
        <f>B71*1.4</f>
        <v>7209.9999999999991</v>
      </c>
      <c r="D71" s="49">
        <v>7200</v>
      </c>
      <c r="E71" s="49">
        <v>5100</v>
      </c>
    </row>
    <row r="72" spans="1:5" x14ac:dyDescent="0.3">
      <c r="A72" s="52" t="s">
        <v>955</v>
      </c>
      <c r="B72" s="53">
        <v>1550</v>
      </c>
      <c r="C72" s="53">
        <f>B72*1.7</f>
        <v>2635</v>
      </c>
      <c r="D72" s="53">
        <v>2650</v>
      </c>
      <c r="E72" s="53"/>
    </row>
    <row r="73" spans="1:5" x14ac:dyDescent="0.3">
      <c r="A73" s="52" t="s">
        <v>954</v>
      </c>
      <c r="B73" s="52">
        <v>3050</v>
      </c>
      <c r="C73" s="53">
        <f>B73*1.6</f>
        <v>4880</v>
      </c>
      <c r="D73" s="53">
        <v>4900</v>
      </c>
      <c r="E73" s="53"/>
    </row>
    <row r="74" spans="1:5" x14ac:dyDescent="0.3">
      <c r="A74" s="52" t="s">
        <v>953</v>
      </c>
      <c r="B74" s="52">
        <v>6050</v>
      </c>
      <c r="C74" s="53">
        <f>B74*1.5</f>
        <v>9075</v>
      </c>
      <c r="D74" s="53">
        <v>9100</v>
      </c>
      <c r="E74" s="53">
        <v>5460</v>
      </c>
    </row>
    <row r="75" spans="1:5" x14ac:dyDescent="0.3">
      <c r="A75" s="34" t="s">
        <v>118</v>
      </c>
      <c r="B75" s="35">
        <v>1500</v>
      </c>
      <c r="C75" s="35">
        <f>B75*1.6</f>
        <v>2400</v>
      </c>
      <c r="D75" s="35">
        <v>2400</v>
      </c>
      <c r="E75" s="35">
        <v>3800</v>
      </c>
    </row>
    <row r="76" spans="1:5" x14ac:dyDescent="0.3">
      <c r="A76" s="34" t="s">
        <v>119</v>
      </c>
      <c r="B76" s="35">
        <v>2900</v>
      </c>
      <c r="C76" s="35">
        <f>B76*1.5</f>
        <v>4350</v>
      </c>
      <c r="D76" s="35">
        <v>4350</v>
      </c>
      <c r="E76" s="35">
        <v>3800</v>
      </c>
    </row>
    <row r="77" spans="1:5" x14ac:dyDescent="0.3">
      <c r="A77" s="81" t="s">
        <v>366</v>
      </c>
      <c r="B77" s="82">
        <v>325</v>
      </c>
      <c r="C77" s="82">
        <f>B77*1.8</f>
        <v>585</v>
      </c>
      <c r="D77" s="82">
        <v>600</v>
      </c>
      <c r="E77" s="172"/>
    </row>
    <row r="78" spans="1:5" x14ac:dyDescent="0.3">
      <c r="A78" s="54" t="s">
        <v>339</v>
      </c>
      <c r="B78" s="55">
        <v>460</v>
      </c>
      <c r="C78" s="55">
        <f>B78*1.7</f>
        <v>782</v>
      </c>
      <c r="D78" s="55">
        <v>800</v>
      </c>
      <c r="E78" s="55">
        <v>2750</v>
      </c>
    </row>
    <row r="79" spans="1:5" x14ac:dyDescent="0.3">
      <c r="A79" s="81" t="s">
        <v>367</v>
      </c>
      <c r="B79" s="82">
        <v>740</v>
      </c>
      <c r="C79" s="82">
        <f>B79*1.6</f>
        <v>1184</v>
      </c>
      <c r="D79" s="82">
        <v>1200</v>
      </c>
      <c r="E79" s="172"/>
    </row>
    <row r="80" spans="1:5" x14ac:dyDescent="0.3">
      <c r="A80" s="34" t="s">
        <v>680</v>
      </c>
      <c r="B80" s="35">
        <v>350</v>
      </c>
      <c r="C80" s="35">
        <f>B80*1.8</f>
        <v>630</v>
      </c>
      <c r="D80" s="35">
        <v>650</v>
      </c>
      <c r="E80" s="73"/>
    </row>
    <row r="81" spans="1:5" x14ac:dyDescent="0.3">
      <c r="A81" s="64" t="s">
        <v>679</v>
      </c>
      <c r="B81" s="64">
        <v>525</v>
      </c>
      <c r="C81" s="7">
        <f>B81*1.7</f>
        <v>892.5</v>
      </c>
      <c r="D81" s="65">
        <v>900</v>
      </c>
      <c r="E81" s="65"/>
    </row>
    <row r="82" spans="1:5" x14ac:dyDescent="0.3">
      <c r="A82" s="34" t="s">
        <v>678</v>
      </c>
      <c r="B82" s="34">
        <v>875</v>
      </c>
      <c r="C82" s="7">
        <f>B82*1.6</f>
        <v>1400</v>
      </c>
      <c r="D82" s="35">
        <v>1400</v>
      </c>
      <c r="E82" s="35"/>
    </row>
    <row r="83" spans="1:5" x14ac:dyDescent="0.3">
      <c r="A83" s="64" t="s">
        <v>677</v>
      </c>
      <c r="B83" s="64">
        <v>1750</v>
      </c>
      <c r="C83" s="65">
        <f>B83*1.5</f>
        <v>2625</v>
      </c>
      <c r="D83" s="65">
        <v>2650</v>
      </c>
      <c r="E83" s="65"/>
    </row>
    <row r="84" spans="1:5" x14ac:dyDescent="0.3">
      <c r="A84" s="34" t="s">
        <v>676</v>
      </c>
      <c r="B84" s="34">
        <v>3500</v>
      </c>
      <c r="C84" s="7">
        <f>B84*1.4</f>
        <v>4900</v>
      </c>
      <c r="D84" s="35">
        <v>4900</v>
      </c>
      <c r="E84" s="35">
        <v>3500</v>
      </c>
    </row>
    <row r="85" spans="1:5" x14ac:dyDescent="0.3">
      <c r="A85" s="74" t="s">
        <v>577</v>
      </c>
      <c r="B85" s="74">
        <v>1300</v>
      </c>
      <c r="C85" s="75">
        <f>B85*1.6</f>
        <v>2080</v>
      </c>
      <c r="D85" s="75">
        <v>2100</v>
      </c>
      <c r="E85" s="75"/>
    </row>
    <row r="86" spans="1:5" x14ac:dyDescent="0.3">
      <c r="A86" s="50" t="s">
        <v>576</v>
      </c>
      <c r="B86" s="50">
        <v>3160</v>
      </c>
      <c r="C86" s="51">
        <f>B86*1.5</f>
        <v>4740</v>
      </c>
      <c r="D86" s="51">
        <v>4750</v>
      </c>
      <c r="E86" s="51"/>
    </row>
    <row r="87" spans="1:5" x14ac:dyDescent="0.3">
      <c r="A87" s="74" t="s">
        <v>578</v>
      </c>
      <c r="B87" s="74">
        <v>680</v>
      </c>
      <c r="C87" s="75">
        <f>B87*1.7</f>
        <v>1156</v>
      </c>
      <c r="D87" s="75">
        <v>1150</v>
      </c>
      <c r="E87" s="75"/>
    </row>
    <row r="88" spans="1:5" x14ac:dyDescent="0.3">
      <c r="A88" s="50" t="s">
        <v>575</v>
      </c>
      <c r="B88" s="50">
        <v>6125</v>
      </c>
      <c r="C88" s="51">
        <f>B88*1.4</f>
        <v>8575</v>
      </c>
      <c r="D88" s="51">
        <v>8600</v>
      </c>
      <c r="E88" s="51">
        <v>12150</v>
      </c>
    </row>
    <row r="89" spans="1:5" x14ac:dyDescent="0.3">
      <c r="A89" t="s">
        <v>862</v>
      </c>
      <c r="B89" s="3">
        <v>1500</v>
      </c>
      <c r="C89" s="3">
        <f>B89*1.65</f>
        <v>2475</v>
      </c>
      <c r="D89" s="3">
        <v>2400</v>
      </c>
      <c r="E89" s="145"/>
    </row>
    <row r="90" spans="1:5" x14ac:dyDescent="0.3">
      <c r="A90" s="6" t="s">
        <v>861</v>
      </c>
      <c r="B90" s="17">
        <v>10100</v>
      </c>
      <c r="C90" s="7">
        <f>B90*1.4</f>
        <v>14140</v>
      </c>
      <c r="D90" s="12">
        <v>14200</v>
      </c>
      <c r="E90" s="7">
        <v>10000</v>
      </c>
    </row>
    <row r="91" spans="1:5" x14ac:dyDescent="0.3">
      <c r="A91" t="s">
        <v>860</v>
      </c>
      <c r="B91" s="3">
        <v>2550</v>
      </c>
      <c r="C91" s="3">
        <f>B91*1.6</f>
        <v>4080</v>
      </c>
      <c r="D91" s="3">
        <v>4100</v>
      </c>
      <c r="E91" s="145"/>
    </row>
    <row r="92" spans="1:5" x14ac:dyDescent="0.3">
      <c r="A92" t="s">
        <v>859</v>
      </c>
      <c r="B92" s="3">
        <v>5050</v>
      </c>
      <c r="C92" s="3">
        <f>B92*1.5</f>
        <v>7575</v>
      </c>
      <c r="D92" s="3">
        <v>7600</v>
      </c>
      <c r="E92" s="145"/>
    </row>
    <row r="93" spans="1:5" x14ac:dyDescent="0.3">
      <c r="A93" s="25" t="s">
        <v>858</v>
      </c>
      <c r="B93" s="26">
        <v>750</v>
      </c>
      <c r="C93" s="26">
        <f>B93*1.7</f>
        <v>1275</v>
      </c>
      <c r="D93" s="26">
        <v>1300</v>
      </c>
      <c r="E93" s="130"/>
    </row>
    <row r="94" spans="1:5" x14ac:dyDescent="0.3">
      <c r="A94" s="153" t="s">
        <v>795</v>
      </c>
      <c r="B94" s="154">
        <v>320</v>
      </c>
      <c r="C94" s="154">
        <f>B94*1.7</f>
        <v>544</v>
      </c>
      <c r="D94" s="154">
        <v>550</v>
      </c>
      <c r="E94" s="154"/>
    </row>
    <row r="95" spans="1:5" x14ac:dyDescent="0.3">
      <c r="A95" s="153" t="s">
        <v>798</v>
      </c>
      <c r="B95" s="153">
        <v>600</v>
      </c>
      <c r="C95" s="154">
        <f>B95*1.6</f>
        <v>960</v>
      </c>
      <c r="D95" s="154">
        <v>950</v>
      </c>
      <c r="E95" s="154"/>
    </row>
    <row r="96" spans="1:5" x14ac:dyDescent="0.3">
      <c r="A96" s="153" t="s">
        <v>797</v>
      </c>
      <c r="B96" s="153">
        <v>1150</v>
      </c>
      <c r="C96" s="154">
        <f>B96*1.5</f>
        <v>1725</v>
      </c>
      <c r="D96" s="154">
        <v>1750</v>
      </c>
      <c r="E96" s="154"/>
    </row>
    <row r="97" spans="1:5" x14ac:dyDescent="0.3">
      <c r="A97" s="153" t="s">
        <v>796</v>
      </c>
      <c r="B97" s="153">
        <v>2250</v>
      </c>
      <c r="C97" s="154">
        <f>B97*1.4</f>
        <v>3150</v>
      </c>
      <c r="D97" s="154">
        <v>3150</v>
      </c>
      <c r="E97" s="154">
        <v>2200</v>
      </c>
    </row>
    <row r="98" spans="1:5" x14ac:dyDescent="0.3">
      <c r="A98" s="178" t="s">
        <v>169</v>
      </c>
      <c r="B98" s="179">
        <v>1400</v>
      </c>
      <c r="C98" s="179">
        <f>B98*1.4</f>
        <v>1959.9999999999998</v>
      </c>
      <c r="D98" s="179">
        <v>1950</v>
      </c>
      <c r="E98" s="179"/>
    </row>
    <row r="99" spans="1:5" x14ac:dyDescent="0.3">
      <c r="A99" s="142" t="s">
        <v>170</v>
      </c>
      <c r="B99" s="143">
        <v>700</v>
      </c>
      <c r="C99" s="143">
        <f>B99*1.5</f>
        <v>1050</v>
      </c>
      <c r="D99" s="143">
        <v>1100</v>
      </c>
      <c r="E99" s="143"/>
    </row>
    <row r="100" spans="1:5" x14ac:dyDescent="0.3">
      <c r="A100" s="178" t="s">
        <v>790</v>
      </c>
      <c r="B100" s="179">
        <v>210</v>
      </c>
      <c r="C100" s="179">
        <f>B100*1.8</f>
        <v>378</v>
      </c>
      <c r="D100" s="179">
        <v>450</v>
      </c>
      <c r="E100" s="179"/>
    </row>
    <row r="101" spans="1:5" x14ac:dyDescent="0.3">
      <c r="A101" s="142" t="s">
        <v>171</v>
      </c>
      <c r="B101" s="143">
        <v>350</v>
      </c>
      <c r="C101" s="179">
        <f>B101*1.6</f>
        <v>560</v>
      </c>
      <c r="D101" s="143">
        <v>600</v>
      </c>
      <c r="E101" s="143"/>
    </row>
    <row r="102" spans="1:5" x14ac:dyDescent="0.3">
      <c r="A102" s="171" t="s">
        <v>968</v>
      </c>
      <c r="B102" s="171">
        <v>410</v>
      </c>
      <c r="C102" s="146">
        <f>B102*1.8</f>
        <v>738</v>
      </c>
      <c r="D102" s="146">
        <v>750</v>
      </c>
      <c r="E102" s="146"/>
    </row>
    <row r="103" spans="1:5" x14ac:dyDescent="0.3">
      <c r="A103" s="170" t="s">
        <v>967</v>
      </c>
      <c r="B103" s="144">
        <v>820</v>
      </c>
      <c r="C103" s="144">
        <f>B103*1.7</f>
        <v>1394</v>
      </c>
      <c r="D103" s="144">
        <v>1400</v>
      </c>
      <c r="E103" s="144"/>
    </row>
    <row r="104" spans="1:5" x14ac:dyDescent="0.3">
      <c r="A104" s="171" t="s">
        <v>966</v>
      </c>
      <c r="B104" s="146">
        <v>1975</v>
      </c>
      <c r="C104" s="146">
        <f>B104*1.6</f>
        <v>3160</v>
      </c>
      <c r="D104" s="146">
        <v>3150</v>
      </c>
      <c r="E104" s="146"/>
    </row>
    <row r="105" spans="1:5" x14ac:dyDescent="0.3">
      <c r="A105" s="170" t="s">
        <v>965</v>
      </c>
      <c r="B105" s="170">
        <v>3900</v>
      </c>
      <c r="C105" s="144">
        <f>B105*1.5</f>
        <v>5850</v>
      </c>
      <c r="D105" s="144">
        <v>5850</v>
      </c>
      <c r="E105" s="144"/>
    </row>
    <row r="106" spans="1:5" x14ac:dyDescent="0.3">
      <c r="A106" s="171" t="s">
        <v>964</v>
      </c>
      <c r="B106" s="171">
        <v>7750</v>
      </c>
      <c r="C106" s="146">
        <f>B106*1.4</f>
        <v>10850</v>
      </c>
      <c r="D106" s="146">
        <v>10850</v>
      </c>
      <c r="E106" s="146">
        <v>7700</v>
      </c>
    </row>
    <row r="107" spans="1:5" x14ac:dyDescent="0.3">
      <c r="A107" s="25" t="s">
        <v>1034</v>
      </c>
      <c r="B107" s="26">
        <v>380</v>
      </c>
      <c r="C107" s="26">
        <f>B107*1.8</f>
        <v>684</v>
      </c>
      <c r="D107" s="26">
        <v>700</v>
      </c>
      <c r="E107" s="130"/>
    </row>
    <row r="108" spans="1:5" x14ac:dyDescent="0.3">
      <c r="A108" s="25" t="s">
        <v>1033</v>
      </c>
      <c r="B108" s="26">
        <v>3350</v>
      </c>
      <c r="C108" s="26">
        <f>B108*1.5</f>
        <v>5025</v>
      </c>
      <c r="D108" s="26">
        <v>5000</v>
      </c>
      <c r="E108" s="130">
        <v>3300</v>
      </c>
    </row>
    <row r="109" spans="1:5" x14ac:dyDescent="0.3">
      <c r="A109" s="25" t="s">
        <v>1035</v>
      </c>
      <c r="B109" s="26">
        <v>875</v>
      </c>
      <c r="C109" s="26">
        <f>B109*1.7</f>
        <v>1487.5</v>
      </c>
      <c r="D109" s="26">
        <v>1500</v>
      </c>
      <c r="E109" s="130"/>
    </row>
    <row r="110" spans="1:5" x14ac:dyDescent="0.3">
      <c r="A110" s="25" t="s">
        <v>1036</v>
      </c>
      <c r="B110" s="26">
        <v>1700</v>
      </c>
      <c r="C110" s="26">
        <f>B110*1.6</f>
        <v>2720</v>
      </c>
      <c r="D110" s="26">
        <v>2700</v>
      </c>
      <c r="E110" s="130"/>
    </row>
    <row r="111" spans="1:5" x14ac:dyDescent="0.3">
      <c r="A111" s="142" t="s">
        <v>973</v>
      </c>
      <c r="B111" s="142">
        <v>1030</v>
      </c>
      <c r="C111" s="143">
        <f>B111*1.7</f>
        <v>1751</v>
      </c>
      <c r="D111" s="143">
        <v>1800</v>
      </c>
      <c r="E111" s="143"/>
    </row>
    <row r="112" spans="1:5" x14ac:dyDescent="0.3">
      <c r="A112" s="214" t="s">
        <v>972</v>
      </c>
      <c r="B112" s="215">
        <v>2000</v>
      </c>
      <c r="C112" s="216">
        <f>B112*1.65</f>
        <v>3300</v>
      </c>
      <c r="D112" s="215">
        <v>3300</v>
      </c>
      <c r="E112" s="216"/>
    </row>
    <row r="113" spans="1:5" x14ac:dyDescent="0.3">
      <c r="A113" s="142" t="s">
        <v>971</v>
      </c>
      <c r="B113" s="142">
        <v>2500</v>
      </c>
      <c r="C113" s="143">
        <f>B113*1.6</f>
        <v>4000</v>
      </c>
      <c r="D113" s="143">
        <v>4000</v>
      </c>
      <c r="E113" s="143"/>
    </row>
    <row r="114" spans="1:5" x14ac:dyDescent="0.3">
      <c r="A114" s="214" t="s">
        <v>970</v>
      </c>
      <c r="B114" s="214">
        <v>4950</v>
      </c>
      <c r="C114" s="216">
        <f>B114*1.5</f>
        <v>7425</v>
      </c>
      <c r="D114" s="216">
        <v>7500</v>
      </c>
      <c r="E114" s="216"/>
    </row>
    <row r="115" spans="1:5" x14ac:dyDescent="0.3">
      <c r="A115" s="142" t="s">
        <v>969</v>
      </c>
      <c r="B115" s="142">
        <v>9850</v>
      </c>
      <c r="C115" s="143">
        <f>B115*1.4</f>
        <v>13790</v>
      </c>
      <c r="D115" s="143">
        <v>14000</v>
      </c>
      <c r="E115" s="143">
        <v>9800</v>
      </c>
    </row>
    <row r="116" spans="1:5" x14ac:dyDescent="0.3">
      <c r="A116" s="25" t="s">
        <v>1316</v>
      </c>
      <c r="B116" s="26">
        <v>1600</v>
      </c>
      <c r="C116" s="26">
        <f>B116*1.5</f>
        <v>2400</v>
      </c>
      <c r="D116" s="26">
        <v>2400</v>
      </c>
      <c r="E116" s="130">
        <v>1530</v>
      </c>
    </row>
    <row r="117" spans="1:5" x14ac:dyDescent="0.3">
      <c r="A117" s="25" t="s">
        <v>1317</v>
      </c>
      <c r="B117" s="26">
        <v>800</v>
      </c>
      <c r="C117" s="26">
        <f>B117*1.6</f>
        <v>1280</v>
      </c>
      <c r="D117" s="26">
        <v>1300</v>
      </c>
      <c r="E117" s="130"/>
    </row>
    <row r="118" spans="1:5" x14ac:dyDescent="0.3">
      <c r="A118" s="25" t="s">
        <v>340</v>
      </c>
      <c r="B118" s="26">
        <v>2020</v>
      </c>
      <c r="C118" s="26">
        <f>B118*1.6</f>
        <v>3232</v>
      </c>
      <c r="D118" s="26">
        <v>3200</v>
      </c>
      <c r="E118" s="130"/>
    </row>
    <row r="119" spans="1:5" x14ac:dyDescent="0.3">
      <c r="A119" s="148" t="s">
        <v>205</v>
      </c>
      <c r="B119" s="195">
        <v>270</v>
      </c>
      <c r="C119" s="149">
        <f>B119*1.8</f>
        <v>486</v>
      </c>
      <c r="D119" s="149">
        <v>500</v>
      </c>
      <c r="E119" s="149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0">B137*1.5</f>
        <v>0</v>
      </c>
      <c r="D137" s="26"/>
      <c r="E137" s="130"/>
    </row>
    <row r="138" spans="1:5" x14ac:dyDescent="0.3">
      <c r="A138" s="25"/>
      <c r="B138" s="26"/>
      <c r="C138" s="26">
        <f t="shared" si="0"/>
        <v>0</v>
      </c>
      <c r="D138" s="26"/>
      <c r="E138" s="130"/>
    </row>
    <row r="139" spans="1:5" x14ac:dyDescent="0.3">
      <c r="A139" s="25"/>
      <c r="B139" s="26"/>
      <c r="C139" s="26">
        <f t="shared" si="0"/>
        <v>0</v>
      </c>
      <c r="D139" s="26"/>
      <c r="E139" s="130"/>
    </row>
    <row r="140" spans="1:5" x14ac:dyDescent="0.3">
      <c r="A140" s="25"/>
      <c r="B140" s="26"/>
      <c r="C140" s="26">
        <f t="shared" si="0"/>
        <v>0</v>
      </c>
      <c r="D140" s="26"/>
      <c r="E140" s="130"/>
    </row>
    <row r="141" spans="1:5" x14ac:dyDescent="0.3">
      <c r="A141" s="25"/>
      <c r="B141" s="26"/>
      <c r="C141" s="26">
        <f t="shared" si="0"/>
        <v>0</v>
      </c>
      <c r="D141" s="26"/>
      <c r="E141" s="130"/>
    </row>
    <row r="142" spans="1:5" x14ac:dyDescent="0.3">
      <c r="A142" s="25"/>
      <c r="B142" s="26"/>
      <c r="C142" s="26">
        <f t="shared" si="0"/>
        <v>0</v>
      </c>
      <c r="D142" s="26"/>
      <c r="E142" s="130"/>
    </row>
    <row r="143" spans="1:5" x14ac:dyDescent="0.3">
      <c r="A143" s="25"/>
      <c r="B143" s="26"/>
      <c r="C143" s="26">
        <f t="shared" si="0"/>
        <v>0</v>
      </c>
      <c r="D143" s="26"/>
      <c r="E143" s="130"/>
    </row>
    <row r="144" spans="1:5" x14ac:dyDescent="0.3">
      <c r="A144" s="25"/>
      <c r="B144" s="26"/>
      <c r="C144" s="26">
        <f t="shared" si="0"/>
        <v>0</v>
      </c>
      <c r="D144" s="26"/>
      <c r="E144" s="130"/>
    </row>
    <row r="145" spans="1:5" x14ac:dyDescent="0.3">
      <c r="A145" s="25"/>
      <c r="B145" s="26"/>
      <c r="C145" s="26">
        <f t="shared" si="0"/>
        <v>0</v>
      </c>
      <c r="D145" s="26"/>
      <c r="E145" s="130"/>
    </row>
    <row r="146" spans="1:5" x14ac:dyDescent="0.3">
      <c r="A146" s="25"/>
      <c r="B146" s="26"/>
      <c r="C146" s="26">
        <f t="shared" si="0"/>
        <v>0</v>
      </c>
      <c r="D146" s="26"/>
      <c r="E146" s="130"/>
    </row>
    <row r="147" spans="1:5" x14ac:dyDescent="0.3">
      <c r="A147" s="25"/>
      <c r="B147" s="26"/>
      <c r="C147" s="26">
        <f t="shared" si="0"/>
        <v>0</v>
      </c>
      <c r="D147" s="26"/>
      <c r="E147" s="130"/>
    </row>
    <row r="148" spans="1:5" x14ac:dyDescent="0.3">
      <c r="A148" s="25"/>
      <c r="B148" s="26"/>
      <c r="C148" s="26">
        <f t="shared" si="0"/>
        <v>0</v>
      </c>
      <c r="D148" s="26"/>
      <c r="E148" s="130"/>
    </row>
    <row r="149" spans="1:5" x14ac:dyDescent="0.3">
      <c r="A149" s="25"/>
      <c r="B149" s="26"/>
      <c r="C149" s="26">
        <f t="shared" si="0"/>
        <v>0</v>
      </c>
      <c r="D149" s="26"/>
      <c r="E149" s="130"/>
    </row>
    <row r="150" spans="1:5" x14ac:dyDescent="0.3">
      <c r="A150" s="25"/>
      <c r="B150" s="26"/>
      <c r="C150" s="26">
        <f t="shared" si="0"/>
        <v>0</v>
      </c>
      <c r="D150" s="26"/>
      <c r="E150" s="27"/>
    </row>
    <row r="151" spans="1:5" x14ac:dyDescent="0.3">
      <c r="A151" s="25"/>
      <c r="B151" s="26"/>
      <c r="C151" s="26">
        <f t="shared" si="0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471DD-8672-41C0-AD73-D28C54669CE9}">
  <sheetPr codeName="Hoja21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65.44140625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6" t="s">
        <v>371</v>
      </c>
      <c r="B2" s="6">
        <v>630</v>
      </c>
      <c r="C2" s="7">
        <f>B2*1.8</f>
        <v>1134</v>
      </c>
      <c r="D2" s="6">
        <v>1100</v>
      </c>
      <c r="E2" s="6"/>
    </row>
    <row r="3" spans="1:5" x14ac:dyDescent="0.3">
      <c r="A3" s="6" t="s">
        <v>807</v>
      </c>
      <c r="B3" s="6">
        <v>615</v>
      </c>
      <c r="C3" s="7">
        <f>B3*1.7</f>
        <v>1045.5</v>
      </c>
      <c r="D3" s="6">
        <v>1100</v>
      </c>
      <c r="E3" s="6"/>
    </row>
    <row r="4" spans="1:5" x14ac:dyDescent="0.3">
      <c r="A4" t="s">
        <v>588</v>
      </c>
      <c r="B4" s="3">
        <v>2160</v>
      </c>
      <c r="C4" s="3">
        <f>B4*1.6</f>
        <v>3456</v>
      </c>
      <c r="D4" s="3">
        <v>3500</v>
      </c>
      <c r="E4" s="145"/>
    </row>
    <row r="5" spans="1:5" x14ac:dyDescent="0.3">
      <c r="A5" t="s">
        <v>587</v>
      </c>
      <c r="B5" s="3">
        <v>4220</v>
      </c>
      <c r="C5" s="3">
        <f>B5*1.6</f>
        <v>6752</v>
      </c>
      <c r="D5" s="3">
        <v>6750</v>
      </c>
      <c r="E5" s="145"/>
    </row>
    <row r="6" spans="1:5" x14ac:dyDescent="0.3">
      <c r="A6" s="210" t="s">
        <v>811</v>
      </c>
      <c r="B6" s="211">
        <v>1050</v>
      </c>
      <c r="C6" s="211">
        <f>B6*1.7</f>
        <v>1785</v>
      </c>
      <c r="D6" s="211">
        <v>1800</v>
      </c>
      <c r="E6" s="212"/>
    </row>
    <row r="7" spans="1:5" x14ac:dyDescent="0.3">
      <c r="A7" s="196" t="s">
        <v>810</v>
      </c>
      <c r="B7" s="197">
        <v>1700</v>
      </c>
      <c r="C7" s="197">
        <f>B7*1.6</f>
        <v>2720</v>
      </c>
      <c r="D7" s="197">
        <v>2700</v>
      </c>
      <c r="E7" s="198"/>
    </row>
    <row r="8" spans="1:5" x14ac:dyDescent="0.3">
      <c r="A8" s="210" t="s">
        <v>808</v>
      </c>
      <c r="B8" s="211">
        <v>3350</v>
      </c>
      <c r="C8" s="211">
        <f>B8*1.5</f>
        <v>5025</v>
      </c>
      <c r="D8" s="211">
        <v>5000</v>
      </c>
      <c r="E8" s="212"/>
    </row>
    <row r="9" spans="1:5" x14ac:dyDescent="0.3">
      <c r="A9" s="196" t="s">
        <v>809</v>
      </c>
      <c r="B9" s="197">
        <v>6650</v>
      </c>
      <c r="C9" s="197">
        <f>B9*1.4</f>
        <v>9310</v>
      </c>
      <c r="D9" s="197">
        <v>9250</v>
      </c>
      <c r="E9" s="198">
        <v>6615</v>
      </c>
    </row>
    <row r="10" spans="1:5" x14ac:dyDescent="0.3">
      <c r="A10" s="54" t="s">
        <v>539</v>
      </c>
      <c r="B10" s="55">
        <v>1100</v>
      </c>
      <c r="C10" s="55">
        <f>B10*1.7</f>
        <v>1870</v>
      </c>
      <c r="D10" s="55">
        <v>1900</v>
      </c>
      <c r="E10" s="55"/>
    </row>
    <row r="11" spans="1:5" x14ac:dyDescent="0.3">
      <c r="A11" s="54" t="s">
        <v>538</v>
      </c>
      <c r="B11" s="177">
        <v>1800</v>
      </c>
      <c r="C11" s="177">
        <f>B11*1.6</f>
        <v>2880</v>
      </c>
      <c r="D11" s="55">
        <v>2900</v>
      </c>
      <c r="E11" s="177"/>
    </row>
    <row r="12" spans="1:5" x14ac:dyDescent="0.3">
      <c r="A12" s="54" t="s">
        <v>537</v>
      </c>
      <c r="B12" s="55">
        <v>3550</v>
      </c>
      <c r="C12" s="55">
        <f>B12*1.5</f>
        <v>5325</v>
      </c>
      <c r="D12" s="55">
        <v>5300</v>
      </c>
      <c r="E12" s="55">
        <v>7000</v>
      </c>
    </row>
    <row r="13" spans="1:5" x14ac:dyDescent="0.3">
      <c r="A13" s="48" t="s">
        <v>740</v>
      </c>
      <c r="B13" s="49">
        <v>850</v>
      </c>
      <c r="C13" s="49">
        <f>B13*1.7</f>
        <v>1445</v>
      </c>
      <c r="D13" s="49">
        <v>1450</v>
      </c>
      <c r="E13" s="49"/>
    </row>
    <row r="14" spans="1:5" x14ac:dyDescent="0.3">
      <c r="A14" s="52" t="s">
        <v>739</v>
      </c>
      <c r="B14" s="53">
        <v>1220</v>
      </c>
      <c r="C14" s="53">
        <f>B14*1.6</f>
        <v>1952</v>
      </c>
      <c r="D14" s="53">
        <v>1950</v>
      </c>
      <c r="E14" s="53"/>
    </row>
    <row r="15" spans="1:5" x14ac:dyDescent="0.3">
      <c r="A15" s="48" t="s">
        <v>738</v>
      </c>
      <c r="B15" s="127">
        <v>2000</v>
      </c>
      <c r="C15" s="127">
        <f>B15*1.5</f>
        <v>3000</v>
      </c>
      <c r="D15" s="49">
        <v>3000</v>
      </c>
      <c r="E15" s="127"/>
    </row>
    <row r="16" spans="1:5" x14ac:dyDescent="0.3">
      <c r="A16" s="52" t="s">
        <v>737</v>
      </c>
      <c r="B16" s="53">
        <v>3950</v>
      </c>
      <c r="C16" s="53">
        <f>B16*1.4</f>
        <v>5530</v>
      </c>
      <c r="D16" s="53">
        <v>5500</v>
      </c>
      <c r="E16" s="53"/>
    </row>
    <row r="17" spans="1:5" x14ac:dyDescent="0.3">
      <c r="A17" s="48" t="s">
        <v>736</v>
      </c>
      <c r="B17" s="49">
        <v>540</v>
      </c>
      <c r="C17" s="49">
        <f>B17*1.4</f>
        <v>756</v>
      </c>
      <c r="D17" s="49">
        <v>950</v>
      </c>
      <c r="E17" s="49"/>
    </row>
    <row r="18" spans="1:5" x14ac:dyDescent="0.3">
      <c r="A18" s="52" t="s">
        <v>735</v>
      </c>
      <c r="B18" s="53">
        <v>7850</v>
      </c>
      <c r="C18" s="53">
        <f>B18*1.35</f>
        <v>10597.5</v>
      </c>
      <c r="D18" s="53">
        <v>10600</v>
      </c>
      <c r="E18" s="53">
        <v>6000</v>
      </c>
    </row>
    <row r="19" spans="1:5" x14ac:dyDescent="0.3">
      <c r="A19" s="71" t="s">
        <v>638</v>
      </c>
      <c r="B19" s="72">
        <v>3000</v>
      </c>
      <c r="C19" s="72">
        <f>B19*1.5</f>
        <v>4500</v>
      </c>
      <c r="D19" s="72">
        <v>4500</v>
      </c>
      <c r="E19" s="72"/>
    </row>
    <row r="20" spans="1:5" x14ac:dyDescent="0.3">
      <c r="A20" s="71" t="s">
        <v>637</v>
      </c>
      <c r="B20" s="72">
        <v>5900</v>
      </c>
      <c r="C20" s="72">
        <f>B20*1.4</f>
        <v>8260</v>
      </c>
      <c r="D20" s="72">
        <v>8500</v>
      </c>
      <c r="E20" s="72"/>
    </row>
    <row r="21" spans="1:5" x14ac:dyDescent="0.3">
      <c r="A21" s="98" t="s">
        <v>767</v>
      </c>
      <c r="B21" s="99">
        <v>720</v>
      </c>
      <c r="C21" s="99">
        <f>B21*1.7</f>
        <v>1224</v>
      </c>
      <c r="D21" s="99">
        <v>1250</v>
      </c>
      <c r="E21" s="99"/>
    </row>
    <row r="22" spans="1:5" x14ac:dyDescent="0.3">
      <c r="A22" s="175" t="s">
        <v>766</v>
      </c>
      <c r="B22" s="176">
        <v>1050</v>
      </c>
      <c r="C22" s="176">
        <f>B22*1.6</f>
        <v>1680</v>
      </c>
      <c r="D22" s="176">
        <v>1700</v>
      </c>
      <c r="E22" s="176">
        <v>6730</v>
      </c>
    </row>
    <row r="23" spans="1:5" x14ac:dyDescent="0.3">
      <c r="A23" s="206" t="s">
        <v>765</v>
      </c>
      <c r="B23" s="207">
        <v>2100</v>
      </c>
      <c r="C23" s="207">
        <f>B23*1.5</f>
        <v>3150</v>
      </c>
      <c r="D23" s="207">
        <v>3150</v>
      </c>
      <c r="E23" s="207">
        <v>6730</v>
      </c>
    </row>
    <row r="24" spans="1:5" x14ac:dyDescent="0.3">
      <c r="A24" s="25" t="s">
        <v>897</v>
      </c>
      <c r="B24" s="26">
        <v>2140</v>
      </c>
      <c r="C24" s="26">
        <f>B24*1.5</f>
        <v>3210</v>
      </c>
      <c r="D24" s="26">
        <v>3200</v>
      </c>
      <c r="E24" s="130"/>
    </row>
    <row r="25" spans="1:5" x14ac:dyDescent="0.3">
      <c r="A25" s="148" t="s">
        <v>898</v>
      </c>
      <c r="B25" s="148">
        <v>630</v>
      </c>
      <c r="C25" s="149">
        <f>B25*1.8</f>
        <v>1134</v>
      </c>
      <c r="D25" s="148">
        <v>1100</v>
      </c>
      <c r="E25" s="148"/>
    </row>
    <row r="26" spans="1:5" x14ac:dyDescent="0.3">
      <c r="A26" s="25" t="s">
        <v>493</v>
      </c>
      <c r="B26" s="26">
        <v>550</v>
      </c>
      <c r="C26" s="26">
        <f>B26*1.7</f>
        <v>935</v>
      </c>
      <c r="D26" s="26">
        <v>900</v>
      </c>
      <c r="E26" s="130"/>
    </row>
    <row r="27" spans="1:5" x14ac:dyDescent="0.3">
      <c r="A27" s="6" t="s">
        <v>1154</v>
      </c>
      <c r="B27" s="36">
        <v>600</v>
      </c>
      <c r="C27" s="36">
        <f>B27*1.7</f>
        <v>1020</v>
      </c>
      <c r="D27" s="7">
        <v>1000</v>
      </c>
      <c r="E27" s="36"/>
    </row>
    <row r="28" spans="1:5" x14ac:dyDescent="0.3">
      <c r="A28" t="s">
        <v>492</v>
      </c>
      <c r="B28" s="208">
        <v>600</v>
      </c>
      <c r="C28" s="208">
        <f>B28*1.5</f>
        <v>900</v>
      </c>
      <c r="D28" s="3">
        <v>900</v>
      </c>
      <c r="E28" s="209"/>
    </row>
    <row r="29" spans="1:5" x14ac:dyDescent="0.3">
      <c r="A29" t="s">
        <v>1155</v>
      </c>
      <c r="B29" s="208">
        <v>1200</v>
      </c>
      <c r="C29" s="208">
        <f>B29*1.7</f>
        <v>2040</v>
      </c>
      <c r="D29" s="3">
        <v>2000</v>
      </c>
      <c r="E29" s="209"/>
    </row>
    <row r="30" spans="1:5" x14ac:dyDescent="0.3">
      <c r="A30" s="148" t="s">
        <v>669</v>
      </c>
      <c r="B30" s="148">
        <v>990</v>
      </c>
      <c r="C30" s="149">
        <f>B30*1.6</f>
        <v>1584</v>
      </c>
      <c r="D30" s="148">
        <v>1600</v>
      </c>
      <c r="E30" s="148"/>
    </row>
    <row r="31" spans="1:5" x14ac:dyDescent="0.3">
      <c r="A31" s="142" t="s">
        <v>899</v>
      </c>
      <c r="B31" s="143">
        <v>2740</v>
      </c>
      <c r="C31" s="143">
        <f>B31*1.5</f>
        <v>4110</v>
      </c>
      <c r="D31" s="143">
        <v>4200</v>
      </c>
      <c r="E31" s="143"/>
    </row>
    <row r="32" spans="1:5" x14ac:dyDescent="0.3">
      <c r="A32" s="142" t="s">
        <v>555</v>
      </c>
      <c r="B32" s="143">
        <v>4200</v>
      </c>
      <c r="C32" s="143">
        <f>B32*1.5</f>
        <v>6300</v>
      </c>
      <c r="D32" s="143">
        <v>6500</v>
      </c>
      <c r="E32" s="143"/>
    </row>
    <row r="33" spans="1:5" x14ac:dyDescent="0.3">
      <c r="A33" s="148" t="s">
        <v>733</v>
      </c>
      <c r="B33" s="149">
        <v>2050</v>
      </c>
      <c r="C33" s="149">
        <f>B33*1.6</f>
        <v>3280</v>
      </c>
      <c r="D33" s="149">
        <v>3300</v>
      </c>
      <c r="E33" s="149"/>
    </row>
    <row r="34" spans="1:5" x14ac:dyDescent="0.3">
      <c r="A34" s="148" t="s">
        <v>732</v>
      </c>
      <c r="B34" s="149">
        <v>5050</v>
      </c>
      <c r="C34" s="149">
        <f>B34*1.5</f>
        <v>7575</v>
      </c>
      <c r="D34" s="149">
        <v>7600</v>
      </c>
      <c r="E34" s="149">
        <v>20000</v>
      </c>
    </row>
    <row r="35" spans="1:5" x14ac:dyDescent="0.3">
      <c r="A35" s="148" t="s">
        <v>734</v>
      </c>
      <c r="B35" s="149">
        <v>1050</v>
      </c>
      <c r="C35" s="149">
        <f>B35*1.7</f>
        <v>1785</v>
      </c>
      <c r="D35" s="149">
        <v>1800</v>
      </c>
      <c r="E35" s="149"/>
    </row>
    <row r="36" spans="1:5" x14ac:dyDescent="0.3">
      <c r="A36" s="25" t="s">
        <v>519</v>
      </c>
      <c r="B36" s="26">
        <v>530</v>
      </c>
      <c r="C36" s="26">
        <f>B36*1.7</f>
        <v>901</v>
      </c>
      <c r="D36" s="26">
        <v>900</v>
      </c>
      <c r="E36" s="130">
        <v>3200</v>
      </c>
    </row>
    <row r="37" spans="1:5" x14ac:dyDescent="0.3">
      <c r="A37" s="25" t="s">
        <v>520</v>
      </c>
      <c r="B37" s="26">
        <v>274</v>
      </c>
      <c r="C37" s="26">
        <f>B37*1.8</f>
        <v>493.2</v>
      </c>
      <c r="D37" s="26">
        <v>500</v>
      </c>
      <c r="E37" s="130"/>
    </row>
    <row r="38" spans="1:5" x14ac:dyDescent="0.3">
      <c r="A38" s="28" t="s">
        <v>939</v>
      </c>
      <c r="B38" s="29">
        <v>1810</v>
      </c>
      <c r="C38" s="29">
        <f>B38*1.6</f>
        <v>2896</v>
      </c>
      <c r="D38" s="29">
        <v>2900</v>
      </c>
      <c r="E38" s="30"/>
    </row>
    <row r="39" spans="1:5" x14ac:dyDescent="0.3">
      <c r="A39" s="112" t="s">
        <v>938</v>
      </c>
      <c r="B39" s="113">
        <v>3570</v>
      </c>
      <c r="C39" s="113">
        <f>B39*1.5</f>
        <v>5355</v>
      </c>
      <c r="D39" s="113">
        <v>5350</v>
      </c>
      <c r="E39" s="114"/>
    </row>
    <row r="40" spans="1:5" x14ac:dyDescent="0.3">
      <c r="A40" s="28" t="s">
        <v>937</v>
      </c>
      <c r="B40" s="29">
        <v>7100</v>
      </c>
      <c r="C40" s="29">
        <f>B40*1.4</f>
        <v>9940</v>
      </c>
      <c r="D40" s="29">
        <v>9950</v>
      </c>
      <c r="E40" s="30"/>
    </row>
    <row r="41" spans="1:5" x14ac:dyDescent="0.3">
      <c r="A41" s="45" t="s">
        <v>943</v>
      </c>
      <c r="B41" s="46">
        <v>980</v>
      </c>
      <c r="C41" s="46">
        <f>B41*1.7</f>
        <v>1666</v>
      </c>
      <c r="D41" s="46">
        <v>1700</v>
      </c>
      <c r="E41" s="47"/>
    </row>
    <row r="42" spans="1:5" x14ac:dyDescent="0.3">
      <c r="A42" s="150" t="s">
        <v>942</v>
      </c>
      <c r="B42" s="151">
        <v>1600</v>
      </c>
      <c r="C42" s="151">
        <f>B42*1.6</f>
        <v>2560</v>
      </c>
      <c r="D42" s="151">
        <v>2550</v>
      </c>
      <c r="E42" s="152"/>
    </row>
    <row r="43" spans="1:5" x14ac:dyDescent="0.3">
      <c r="A43" s="45" t="s">
        <v>941</v>
      </c>
      <c r="B43" s="46">
        <v>3100</v>
      </c>
      <c r="C43" s="46">
        <f>B43*1.5</f>
        <v>4650</v>
      </c>
      <c r="D43" s="46">
        <v>4650</v>
      </c>
      <c r="E43" s="47"/>
    </row>
    <row r="44" spans="1:5" x14ac:dyDescent="0.3">
      <c r="A44" s="150" t="s">
        <v>940</v>
      </c>
      <c r="B44" s="151">
        <v>6200</v>
      </c>
      <c r="C44" s="151">
        <f>B44*1.4</f>
        <v>8680</v>
      </c>
      <c r="D44" s="151">
        <v>8600</v>
      </c>
      <c r="E44" s="152">
        <v>5770</v>
      </c>
    </row>
    <row r="45" spans="1:5" x14ac:dyDescent="0.3">
      <c r="A45" s="58" t="s">
        <v>771</v>
      </c>
      <c r="B45" s="59">
        <v>1437</v>
      </c>
      <c r="C45" s="59">
        <f>B45*1.65</f>
        <v>2371.0499999999997</v>
      </c>
      <c r="D45" s="59">
        <v>2300</v>
      </c>
      <c r="E45" s="60"/>
    </row>
    <row r="46" spans="1:5" x14ac:dyDescent="0.3">
      <c r="A46" s="78" t="s">
        <v>770</v>
      </c>
      <c r="B46" s="79">
        <v>2360</v>
      </c>
      <c r="C46" s="79">
        <f>B46*1.55</f>
        <v>3658</v>
      </c>
      <c r="D46" s="79">
        <v>3650</v>
      </c>
      <c r="E46" s="80"/>
    </row>
    <row r="47" spans="1:5" x14ac:dyDescent="0.3">
      <c r="A47" s="58" t="s">
        <v>769</v>
      </c>
      <c r="B47" s="59">
        <v>4675</v>
      </c>
      <c r="C47" s="59">
        <f>B47*1.45</f>
        <v>6778.75</v>
      </c>
      <c r="D47" s="59">
        <v>6800</v>
      </c>
      <c r="E47" s="60"/>
    </row>
    <row r="48" spans="1:5" x14ac:dyDescent="0.3">
      <c r="A48" s="78" t="s">
        <v>768</v>
      </c>
      <c r="B48" s="79">
        <v>9250</v>
      </c>
      <c r="C48" s="79">
        <f>B48*1.35</f>
        <v>12487.5</v>
      </c>
      <c r="D48" s="79">
        <v>12500</v>
      </c>
      <c r="E48" s="80"/>
    </row>
    <row r="49" spans="1:5" x14ac:dyDescent="0.3">
      <c r="A49" s="25" t="s">
        <v>774</v>
      </c>
      <c r="B49" s="26">
        <v>126</v>
      </c>
      <c r="C49" s="26">
        <f>B49*1.6</f>
        <v>201.60000000000002</v>
      </c>
      <c r="D49" s="26">
        <v>200</v>
      </c>
      <c r="E49" s="130"/>
    </row>
    <row r="50" spans="1:5" x14ac:dyDescent="0.3">
      <c r="A50" s="25" t="s">
        <v>772</v>
      </c>
      <c r="B50" s="26">
        <v>90</v>
      </c>
      <c r="C50" s="26">
        <f>B50*1.6</f>
        <v>144</v>
      </c>
      <c r="D50" s="26">
        <v>140</v>
      </c>
      <c r="E50" s="130"/>
    </row>
    <row r="51" spans="1:5" x14ac:dyDescent="0.3">
      <c r="A51" s="25" t="s">
        <v>773</v>
      </c>
      <c r="B51" s="26">
        <v>108</v>
      </c>
      <c r="C51" s="26">
        <f>B51*1.6</f>
        <v>172.8</v>
      </c>
      <c r="D51" s="26">
        <v>170</v>
      </c>
      <c r="E51" s="130"/>
    </row>
    <row r="52" spans="1:5" x14ac:dyDescent="0.3">
      <c r="A52" s="25"/>
      <c r="B52" s="26"/>
      <c r="C52" s="26">
        <f>B52*1.6</f>
        <v>0</v>
      </c>
      <c r="D52" s="26"/>
      <c r="E52" s="130"/>
    </row>
    <row r="53" spans="1:5" x14ac:dyDescent="0.3">
      <c r="A53" s="25"/>
      <c r="B53" s="26"/>
      <c r="C53" s="26">
        <f>B53*1.5</f>
        <v>0</v>
      </c>
      <c r="D53" s="26"/>
      <c r="E53" s="130"/>
    </row>
    <row r="54" spans="1:5" x14ac:dyDescent="0.3">
      <c r="A54" s="25"/>
      <c r="B54" s="26"/>
      <c r="C54" s="26">
        <f>B54*1.5</f>
        <v>0</v>
      </c>
      <c r="D54" s="26"/>
      <c r="E54" s="130"/>
    </row>
    <row r="55" spans="1:5" x14ac:dyDescent="0.3">
      <c r="A55" s="25"/>
      <c r="B55" s="26"/>
      <c r="C55" s="26">
        <f>B55*1.6</f>
        <v>0</v>
      </c>
      <c r="D55" s="26"/>
      <c r="E55" s="130"/>
    </row>
    <row r="56" spans="1:5" x14ac:dyDescent="0.3">
      <c r="A56" s="25"/>
      <c r="B56" s="26"/>
      <c r="C56" s="26">
        <f>B56*1.6</f>
        <v>0</v>
      </c>
      <c r="D56" s="26"/>
      <c r="E56" s="130"/>
    </row>
    <row r="57" spans="1:5" x14ac:dyDescent="0.3">
      <c r="A57" s="25"/>
      <c r="B57" s="26"/>
      <c r="C57" s="26">
        <f>B57*1.5</f>
        <v>0</v>
      </c>
      <c r="D57" s="26"/>
      <c r="E57" s="130"/>
    </row>
    <row r="58" spans="1:5" x14ac:dyDescent="0.3">
      <c r="A58" s="25"/>
      <c r="B58" s="26"/>
      <c r="C58" s="26">
        <f>B58*1.7</f>
        <v>0</v>
      </c>
      <c r="D58" s="26"/>
      <c r="E58" s="130"/>
    </row>
    <row r="59" spans="1:5" x14ac:dyDescent="0.3">
      <c r="A59" s="25"/>
      <c r="B59" s="26"/>
      <c r="C59" s="26">
        <f>B59*1.6</f>
        <v>0</v>
      </c>
      <c r="D59" s="26"/>
      <c r="E59" s="130"/>
    </row>
    <row r="60" spans="1:5" x14ac:dyDescent="0.3">
      <c r="A60" s="25"/>
      <c r="B60" s="26"/>
      <c r="C60" s="26">
        <f>B60*1.7</f>
        <v>0</v>
      </c>
      <c r="D60" s="26"/>
      <c r="E60" s="130"/>
    </row>
    <row r="61" spans="1:5" x14ac:dyDescent="0.3">
      <c r="A61" s="25"/>
      <c r="B61" s="26"/>
      <c r="C61" s="26">
        <f>B61*1.6</f>
        <v>0</v>
      </c>
      <c r="D61" s="26"/>
      <c r="E61" s="130"/>
    </row>
    <row r="62" spans="1:5" x14ac:dyDescent="0.3">
      <c r="A62" s="25"/>
      <c r="B62" s="26"/>
      <c r="C62" s="26">
        <f>B62*1.5</f>
        <v>0</v>
      </c>
      <c r="D62" s="26"/>
      <c r="E62" s="130"/>
    </row>
    <row r="63" spans="1:5" x14ac:dyDescent="0.3">
      <c r="A63" s="25"/>
      <c r="B63" s="26"/>
      <c r="C63" s="26">
        <f>B63*1.4</f>
        <v>0</v>
      </c>
      <c r="D63" s="26"/>
      <c r="E63" s="130"/>
    </row>
    <row r="64" spans="1:5" x14ac:dyDescent="0.3">
      <c r="A64" s="25"/>
      <c r="B64" s="26"/>
      <c r="C64" s="26">
        <f>B64*1.5</f>
        <v>0</v>
      </c>
      <c r="D64" s="26"/>
      <c r="E64" s="130"/>
    </row>
    <row r="65" spans="1:5" x14ac:dyDescent="0.3">
      <c r="A65" s="25"/>
      <c r="B65" s="26"/>
      <c r="C65" s="26">
        <f>B65*1.6</f>
        <v>0</v>
      </c>
      <c r="D65" s="26"/>
      <c r="E65" s="130"/>
    </row>
    <row r="66" spans="1:5" x14ac:dyDescent="0.3">
      <c r="A66" s="25"/>
      <c r="B66" s="26"/>
      <c r="C66" s="26">
        <f>B66*1.5</f>
        <v>0</v>
      </c>
      <c r="D66" s="26"/>
      <c r="E66" s="130"/>
    </row>
    <row r="67" spans="1:5" x14ac:dyDescent="0.3">
      <c r="A67" s="25"/>
      <c r="B67" s="26"/>
      <c r="C67" s="26">
        <f>B67*1.6</f>
        <v>0</v>
      </c>
      <c r="D67" s="26"/>
      <c r="E67" s="130"/>
    </row>
    <row r="68" spans="1:5" x14ac:dyDescent="0.3">
      <c r="A68" s="25"/>
      <c r="B68" s="26"/>
      <c r="C68" s="26">
        <f>B68*1.6</f>
        <v>0</v>
      </c>
      <c r="D68" s="26"/>
      <c r="E68" s="130"/>
    </row>
    <row r="69" spans="1:5" x14ac:dyDescent="0.3">
      <c r="A69" s="25"/>
      <c r="B69" s="26"/>
      <c r="C69" s="26">
        <f>B69*1.5</f>
        <v>0</v>
      </c>
      <c r="D69" s="26"/>
      <c r="E69" s="130"/>
    </row>
    <row r="70" spans="1:5" x14ac:dyDescent="0.3">
      <c r="A70" s="25"/>
      <c r="B70" s="26"/>
      <c r="C70" s="26">
        <f>B70*1.4</f>
        <v>0</v>
      </c>
      <c r="D70" s="26"/>
      <c r="E70" s="130"/>
    </row>
    <row r="71" spans="1:5" x14ac:dyDescent="0.3">
      <c r="A71" s="25"/>
      <c r="B71" s="26"/>
      <c r="C71" s="26">
        <f>B71*1.3</f>
        <v>0</v>
      </c>
      <c r="D71" s="26"/>
      <c r="E71" s="130"/>
    </row>
    <row r="72" spans="1:5" x14ac:dyDescent="0.3">
      <c r="A72" s="25"/>
      <c r="B72" s="26"/>
      <c r="C72" s="26">
        <f>B72*1.6</f>
        <v>0</v>
      </c>
      <c r="D72" s="26"/>
      <c r="E72" s="130"/>
    </row>
    <row r="73" spans="1:5" x14ac:dyDescent="0.3">
      <c r="A73" s="25"/>
      <c r="B73" s="26"/>
      <c r="C73" s="26">
        <f>B73*1.5</f>
        <v>0</v>
      </c>
      <c r="D73" s="26"/>
      <c r="E73" s="130"/>
    </row>
    <row r="74" spans="1:5" x14ac:dyDescent="0.3">
      <c r="A74" s="25"/>
      <c r="B74" s="26"/>
      <c r="C74" s="26">
        <f>B74*1.6</f>
        <v>0</v>
      </c>
      <c r="D74" s="26"/>
      <c r="E74" s="130"/>
    </row>
    <row r="75" spans="1:5" x14ac:dyDescent="0.3">
      <c r="A75" s="25"/>
      <c r="B75" s="26"/>
      <c r="C75" s="26">
        <f>B75*1.4</f>
        <v>0</v>
      </c>
      <c r="D75" s="26"/>
      <c r="E75" s="130"/>
    </row>
    <row r="76" spans="1:5" x14ac:dyDescent="0.3">
      <c r="A76" s="25"/>
      <c r="B76" s="26"/>
      <c r="C76" s="26">
        <f>B76*1.7</f>
        <v>0</v>
      </c>
      <c r="D76" s="26"/>
      <c r="E76" s="130"/>
    </row>
    <row r="77" spans="1:5" x14ac:dyDescent="0.3">
      <c r="A77" s="25"/>
      <c r="B77" s="26"/>
      <c r="C77" s="26">
        <f>B77*1.6</f>
        <v>0</v>
      </c>
      <c r="D77" s="26"/>
      <c r="E77" s="130"/>
    </row>
    <row r="78" spans="1:5" x14ac:dyDescent="0.3">
      <c r="A78" s="25"/>
      <c r="B78" s="26"/>
      <c r="C78" s="26">
        <f>B78*1.5</f>
        <v>0</v>
      </c>
      <c r="D78" s="26"/>
      <c r="E78" s="130"/>
    </row>
    <row r="79" spans="1:5" x14ac:dyDescent="0.3">
      <c r="A79" s="25"/>
      <c r="B79" s="26"/>
      <c r="C79" s="26">
        <f>B79*1.7</f>
        <v>0</v>
      </c>
      <c r="D79" s="26"/>
      <c r="E79" s="130"/>
    </row>
    <row r="80" spans="1:5" x14ac:dyDescent="0.3">
      <c r="A80" s="25"/>
      <c r="B80" s="26"/>
      <c r="C80" s="26">
        <f>B80*1.6</f>
        <v>0</v>
      </c>
      <c r="D80" s="26"/>
      <c r="E80" s="130"/>
    </row>
    <row r="81" spans="1:5" x14ac:dyDescent="0.3">
      <c r="A81" s="25"/>
      <c r="B81" s="26"/>
      <c r="C81" s="26">
        <f>B81*1.5</f>
        <v>0</v>
      </c>
      <c r="D81" s="26"/>
      <c r="E81" s="130"/>
    </row>
    <row r="82" spans="1:5" x14ac:dyDescent="0.3">
      <c r="A82" s="25"/>
      <c r="B82" s="26"/>
      <c r="C82" s="26">
        <f>B82*1.4</f>
        <v>0</v>
      </c>
      <c r="D82" s="26"/>
      <c r="E82" s="130"/>
    </row>
    <row r="83" spans="1:5" x14ac:dyDescent="0.3">
      <c r="A83" s="25"/>
      <c r="B83" s="26"/>
      <c r="C83" s="26">
        <f>B83*1.5</f>
        <v>0</v>
      </c>
      <c r="D83" s="26"/>
      <c r="E83" s="130"/>
    </row>
    <row r="84" spans="1:5" x14ac:dyDescent="0.3">
      <c r="A84" s="25"/>
      <c r="B84" s="26"/>
      <c r="C84" s="26">
        <f>B84*1.5</f>
        <v>0</v>
      </c>
      <c r="D84" s="26"/>
      <c r="E84" s="130"/>
    </row>
    <row r="85" spans="1:5" x14ac:dyDescent="0.3">
      <c r="A85" s="25"/>
      <c r="B85" s="26"/>
      <c r="C85" s="26">
        <f>B85*1.5</f>
        <v>0</v>
      </c>
      <c r="D85" s="26"/>
      <c r="E85" s="130"/>
    </row>
    <row r="86" spans="1:5" x14ac:dyDescent="0.3">
      <c r="A86" s="25"/>
      <c r="B86" s="26"/>
      <c r="C86" s="26">
        <f>B86*1.7</f>
        <v>0</v>
      </c>
      <c r="D86" s="26"/>
      <c r="E86" s="130"/>
    </row>
    <row r="87" spans="1:5" x14ac:dyDescent="0.3">
      <c r="A87" s="25"/>
      <c r="B87" s="26"/>
      <c r="C87" s="26">
        <f>B87*1.6</f>
        <v>0</v>
      </c>
      <c r="D87" s="26"/>
      <c r="E87" s="130"/>
    </row>
    <row r="88" spans="1:5" x14ac:dyDescent="0.3">
      <c r="A88" s="25"/>
      <c r="B88" s="26"/>
      <c r="C88" s="26">
        <f>B88*1.5</f>
        <v>0</v>
      </c>
      <c r="D88" s="26"/>
      <c r="E88" s="130"/>
    </row>
    <row r="89" spans="1:5" x14ac:dyDescent="0.3">
      <c r="A89" s="25"/>
      <c r="B89" s="26"/>
      <c r="C89" s="26">
        <f>B89*1.4</f>
        <v>0</v>
      </c>
      <c r="D89" s="26"/>
      <c r="E89" s="130"/>
    </row>
    <row r="90" spans="1:5" x14ac:dyDescent="0.3">
      <c r="A90" s="25"/>
      <c r="B90" s="26"/>
      <c r="C90" s="26">
        <f>B90*1.7</f>
        <v>0</v>
      </c>
      <c r="D90" s="26"/>
      <c r="E90" s="130"/>
    </row>
    <row r="91" spans="1:5" x14ac:dyDescent="0.3">
      <c r="A91" s="25"/>
      <c r="B91" s="26"/>
      <c r="C91" s="26">
        <f>B91*1.6</f>
        <v>0</v>
      </c>
      <c r="D91" s="26"/>
      <c r="E91" s="130"/>
    </row>
    <row r="92" spans="1:5" x14ac:dyDescent="0.3">
      <c r="A92" s="25"/>
      <c r="B92" s="26"/>
      <c r="C92" s="26">
        <f>B92*1.5</f>
        <v>0</v>
      </c>
      <c r="D92" s="26"/>
      <c r="E92" s="130"/>
    </row>
    <row r="93" spans="1:5" x14ac:dyDescent="0.3">
      <c r="A93" s="25"/>
      <c r="B93" s="26"/>
      <c r="C93" s="26">
        <f>B93*1.4</f>
        <v>0</v>
      </c>
      <c r="D93" s="26"/>
      <c r="E93" s="130"/>
    </row>
    <row r="94" spans="1:5" x14ac:dyDescent="0.3">
      <c r="A94" s="25"/>
      <c r="B94" s="26"/>
      <c r="C94" s="26">
        <f t="shared" ref="C94:C105" si="0">B94*1.5</f>
        <v>0</v>
      </c>
      <c r="D94" s="26"/>
      <c r="E94" s="130"/>
    </row>
    <row r="95" spans="1:5" x14ac:dyDescent="0.3">
      <c r="A95" s="25"/>
      <c r="B95" s="26"/>
      <c r="C95" s="26">
        <f t="shared" si="0"/>
        <v>0</v>
      </c>
      <c r="D95" s="26"/>
      <c r="E95" s="130"/>
    </row>
    <row r="96" spans="1:5" x14ac:dyDescent="0.3">
      <c r="A96" s="25"/>
      <c r="B96" s="26"/>
      <c r="C96" s="26">
        <f t="shared" si="0"/>
        <v>0</v>
      </c>
      <c r="D96" s="26"/>
      <c r="E96" s="130"/>
    </row>
    <row r="97" spans="1:5" x14ac:dyDescent="0.3">
      <c r="A97" s="25"/>
      <c r="B97" s="26"/>
      <c r="C97" s="26">
        <f t="shared" si="0"/>
        <v>0</v>
      </c>
      <c r="D97" s="26"/>
      <c r="E97" s="130"/>
    </row>
    <row r="98" spans="1:5" x14ac:dyDescent="0.3">
      <c r="A98" s="25"/>
      <c r="B98" s="26"/>
      <c r="C98" s="26">
        <f t="shared" si="0"/>
        <v>0</v>
      </c>
      <c r="D98" s="26"/>
      <c r="E98" s="130"/>
    </row>
    <row r="99" spans="1:5" x14ac:dyDescent="0.3">
      <c r="A99" s="25"/>
      <c r="B99" s="26"/>
      <c r="C99" s="26">
        <f t="shared" si="0"/>
        <v>0</v>
      </c>
      <c r="D99" s="26"/>
      <c r="E99" s="130"/>
    </row>
    <row r="100" spans="1:5" x14ac:dyDescent="0.3">
      <c r="A100" s="25"/>
      <c r="B100" s="26"/>
      <c r="C100" s="26">
        <f t="shared" si="0"/>
        <v>0</v>
      </c>
      <c r="D100" s="26"/>
      <c r="E100" s="130"/>
    </row>
    <row r="101" spans="1:5" x14ac:dyDescent="0.3">
      <c r="A101" s="25"/>
      <c r="B101" s="26"/>
      <c r="C101" s="26">
        <f t="shared" si="0"/>
        <v>0</v>
      </c>
      <c r="D101" s="26"/>
      <c r="E101" s="130"/>
    </row>
    <row r="102" spans="1:5" x14ac:dyDescent="0.3">
      <c r="A102" s="25"/>
      <c r="B102" s="26"/>
      <c r="C102" s="26">
        <f t="shared" si="0"/>
        <v>0</v>
      </c>
      <c r="D102" s="26"/>
      <c r="E102" s="130"/>
    </row>
    <row r="103" spans="1:5" x14ac:dyDescent="0.3">
      <c r="A103" s="25"/>
      <c r="B103" s="26"/>
      <c r="C103" s="26">
        <f t="shared" si="0"/>
        <v>0</v>
      </c>
      <c r="D103" s="26"/>
      <c r="E103" s="130"/>
    </row>
    <row r="104" spans="1:5" x14ac:dyDescent="0.3">
      <c r="A104" s="25"/>
      <c r="B104" s="26"/>
      <c r="C104" s="26">
        <f t="shared" si="0"/>
        <v>0</v>
      </c>
      <c r="D104" s="26"/>
      <c r="E104" s="130"/>
    </row>
    <row r="105" spans="1:5" x14ac:dyDescent="0.3">
      <c r="A105" s="25"/>
      <c r="B105" s="26"/>
      <c r="C105" s="26">
        <f t="shared" si="0"/>
        <v>0</v>
      </c>
      <c r="D105" s="26"/>
      <c r="E105" s="130"/>
    </row>
    <row r="106" spans="1:5" x14ac:dyDescent="0.3">
      <c r="A106" s="25"/>
      <c r="B106" s="26"/>
      <c r="C106" s="26">
        <f>B106*1.6</f>
        <v>0</v>
      </c>
      <c r="D106" s="26"/>
      <c r="E106" s="130"/>
    </row>
    <row r="107" spans="1:5" x14ac:dyDescent="0.3">
      <c r="A107" s="25"/>
      <c r="B107" s="26"/>
      <c r="C107" s="26">
        <f>B107*1.7</f>
        <v>0</v>
      </c>
      <c r="D107" s="26"/>
      <c r="E107" s="130"/>
    </row>
    <row r="108" spans="1:5" x14ac:dyDescent="0.3">
      <c r="A108" s="25"/>
      <c r="B108" s="26"/>
      <c r="C108" s="26">
        <f>B108*1.4</f>
        <v>0</v>
      </c>
      <c r="D108" s="26"/>
      <c r="E108" s="130"/>
    </row>
    <row r="109" spans="1:5" x14ac:dyDescent="0.3">
      <c r="A109" s="25"/>
      <c r="B109" s="26"/>
      <c r="C109" s="26">
        <f>B109*1.5</f>
        <v>0</v>
      </c>
      <c r="D109" s="26"/>
      <c r="E109" s="130"/>
    </row>
    <row r="110" spans="1:5" x14ac:dyDescent="0.3">
      <c r="A110" s="25"/>
      <c r="B110" s="26"/>
      <c r="C110" s="26">
        <f>B110*1.4</f>
        <v>0</v>
      </c>
      <c r="D110" s="26"/>
      <c r="E110" s="130"/>
    </row>
    <row r="111" spans="1:5" x14ac:dyDescent="0.3">
      <c r="A111" s="25"/>
      <c r="B111" s="26"/>
      <c r="C111" s="26">
        <f>B111*1.5</f>
        <v>0</v>
      </c>
      <c r="D111" s="26"/>
      <c r="E111" s="26"/>
    </row>
    <row r="112" spans="1:5" x14ac:dyDescent="0.3">
      <c r="A112" s="25"/>
      <c r="B112" s="26"/>
      <c r="C112" s="26">
        <f>B112*1.7</f>
        <v>0</v>
      </c>
      <c r="D112" s="26"/>
      <c r="E112" s="130"/>
    </row>
    <row r="113" spans="1:5" x14ac:dyDescent="0.3">
      <c r="A113" s="25"/>
      <c r="B113" s="26"/>
      <c r="C113" s="26">
        <f>B113*1.6</f>
        <v>0</v>
      </c>
      <c r="D113" s="26"/>
      <c r="E113" s="130"/>
    </row>
    <row r="114" spans="1:5" x14ac:dyDescent="0.3">
      <c r="A114" s="25"/>
      <c r="B114" s="26"/>
      <c r="C114" s="26">
        <f>B114*1.4</f>
        <v>0</v>
      </c>
      <c r="D114" s="26"/>
      <c r="E114" s="130"/>
    </row>
    <row r="115" spans="1:5" x14ac:dyDescent="0.3">
      <c r="A115" s="25"/>
      <c r="B115" s="26"/>
      <c r="C115" s="26">
        <f>B115*1.7</f>
        <v>0</v>
      </c>
      <c r="D115" s="26"/>
      <c r="E115" s="130"/>
    </row>
    <row r="116" spans="1:5" x14ac:dyDescent="0.3">
      <c r="A116" s="25"/>
      <c r="B116" s="26"/>
      <c r="C116" s="26">
        <f>B116*1.6</f>
        <v>0</v>
      </c>
      <c r="D116" s="26"/>
      <c r="E116" s="130"/>
    </row>
    <row r="117" spans="1:5" x14ac:dyDescent="0.3">
      <c r="A117" s="25"/>
      <c r="B117" s="26"/>
      <c r="C117" s="26">
        <f>B117*1.5</f>
        <v>0</v>
      </c>
      <c r="D117" s="26"/>
      <c r="E117" s="130"/>
    </row>
    <row r="118" spans="1:5" x14ac:dyDescent="0.3">
      <c r="A118" s="25"/>
      <c r="B118" s="26"/>
      <c r="C118" s="26">
        <f>B118*1.5</f>
        <v>0</v>
      </c>
      <c r="D118" s="26"/>
      <c r="E118" s="130"/>
    </row>
    <row r="119" spans="1:5" x14ac:dyDescent="0.3">
      <c r="A119" s="25"/>
      <c r="B119" s="26"/>
      <c r="C119" s="26">
        <f>B119*1.4</f>
        <v>0</v>
      </c>
      <c r="D119" s="26"/>
      <c r="E119" s="130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1">B137*1.5</f>
        <v>0</v>
      </c>
      <c r="D137" s="26"/>
      <c r="E137" s="130"/>
    </row>
    <row r="138" spans="1:5" x14ac:dyDescent="0.3">
      <c r="A138" s="25"/>
      <c r="B138" s="26"/>
      <c r="C138" s="26">
        <f t="shared" si="1"/>
        <v>0</v>
      </c>
      <c r="D138" s="26"/>
      <c r="E138" s="130"/>
    </row>
    <row r="139" spans="1:5" x14ac:dyDescent="0.3">
      <c r="A139" s="25"/>
      <c r="B139" s="26"/>
      <c r="C139" s="26">
        <f t="shared" si="1"/>
        <v>0</v>
      </c>
      <c r="D139" s="26"/>
      <c r="E139" s="130"/>
    </row>
    <row r="140" spans="1:5" x14ac:dyDescent="0.3">
      <c r="A140" s="25"/>
      <c r="B140" s="26"/>
      <c r="C140" s="26">
        <f t="shared" si="1"/>
        <v>0</v>
      </c>
      <c r="D140" s="26"/>
      <c r="E140" s="130"/>
    </row>
    <row r="141" spans="1:5" x14ac:dyDescent="0.3">
      <c r="A141" s="25"/>
      <c r="B141" s="26"/>
      <c r="C141" s="26">
        <f t="shared" si="1"/>
        <v>0</v>
      </c>
      <c r="D141" s="26"/>
      <c r="E141" s="130"/>
    </row>
    <row r="142" spans="1:5" x14ac:dyDescent="0.3">
      <c r="A142" s="25"/>
      <c r="B142" s="26"/>
      <c r="C142" s="26">
        <f t="shared" si="1"/>
        <v>0</v>
      </c>
      <c r="D142" s="26"/>
      <c r="E142" s="130"/>
    </row>
    <row r="143" spans="1:5" x14ac:dyDescent="0.3">
      <c r="A143" s="25"/>
      <c r="B143" s="26"/>
      <c r="C143" s="26">
        <f t="shared" si="1"/>
        <v>0</v>
      </c>
      <c r="D143" s="26"/>
      <c r="E143" s="130"/>
    </row>
    <row r="144" spans="1:5" x14ac:dyDescent="0.3">
      <c r="A144" s="25"/>
      <c r="B144" s="26"/>
      <c r="C144" s="26">
        <f t="shared" si="1"/>
        <v>0</v>
      </c>
      <c r="D144" s="26"/>
      <c r="E144" s="130"/>
    </row>
    <row r="145" spans="1:5" x14ac:dyDescent="0.3">
      <c r="A145" s="25"/>
      <c r="B145" s="26"/>
      <c r="C145" s="26">
        <f t="shared" si="1"/>
        <v>0</v>
      </c>
      <c r="D145" s="26"/>
      <c r="E145" s="130"/>
    </row>
    <row r="146" spans="1:5" x14ac:dyDescent="0.3">
      <c r="A146" s="25"/>
      <c r="B146" s="26"/>
      <c r="C146" s="26">
        <f t="shared" si="1"/>
        <v>0</v>
      </c>
      <c r="D146" s="26"/>
      <c r="E146" s="130"/>
    </row>
    <row r="147" spans="1:5" x14ac:dyDescent="0.3">
      <c r="A147" s="25"/>
      <c r="B147" s="26"/>
      <c r="C147" s="26">
        <f t="shared" si="1"/>
        <v>0</v>
      </c>
      <c r="D147" s="26"/>
      <c r="E147" s="130"/>
    </row>
    <row r="148" spans="1:5" x14ac:dyDescent="0.3">
      <c r="A148" s="25"/>
      <c r="B148" s="26"/>
      <c r="C148" s="26">
        <f t="shared" si="1"/>
        <v>0</v>
      </c>
      <c r="D148" s="26"/>
      <c r="E148" s="130"/>
    </row>
    <row r="149" spans="1:5" x14ac:dyDescent="0.3">
      <c r="A149" s="25"/>
      <c r="B149" s="26"/>
      <c r="C149" s="26">
        <f t="shared" si="1"/>
        <v>0</v>
      </c>
      <c r="D149" s="26"/>
      <c r="E149" s="130"/>
    </row>
    <row r="150" spans="1:5" x14ac:dyDescent="0.3">
      <c r="A150" s="25"/>
      <c r="B150" s="26"/>
      <c r="C150" s="26">
        <f t="shared" si="1"/>
        <v>0</v>
      </c>
      <c r="D150" s="26"/>
      <c r="E150" s="27"/>
    </row>
    <row r="151" spans="1:5" x14ac:dyDescent="0.3">
      <c r="A151" s="25"/>
      <c r="B151" s="26"/>
      <c r="C151" s="26">
        <f t="shared" si="1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4E68D-8727-405F-8445-30A219641A2F}">
  <sheetPr codeName="Hoja24"/>
  <dimension ref="A1:E151"/>
  <sheetViews>
    <sheetView workbookViewId="0">
      <selection activeCell="A2" sqref="A2:A150 D2:D150"/>
    </sheetView>
  </sheetViews>
  <sheetFormatPr baseColWidth="10" defaultRowHeight="14.4" x14ac:dyDescent="0.3"/>
  <cols>
    <col min="1" max="1" width="66" customWidth="1"/>
    <col min="2" max="2" width="15.5546875" style="3" bestFit="1" customWidth="1"/>
    <col min="3" max="3" width="21" style="3" bestFit="1" customWidth="1"/>
    <col min="4" max="4" width="19.33203125" style="3" bestFit="1" customWidth="1"/>
    <col min="5" max="5" width="23.88671875" style="3" bestFit="1" customWidth="1"/>
  </cols>
  <sheetData>
    <row r="1" spans="1:5" x14ac:dyDescent="0.3">
      <c r="A1" t="s">
        <v>0</v>
      </c>
      <c r="B1" s="3" t="s">
        <v>7</v>
      </c>
      <c r="C1" s="3" t="s">
        <v>1</v>
      </c>
      <c r="D1" s="3" t="s">
        <v>2</v>
      </c>
      <c r="E1" s="3" t="s">
        <v>51</v>
      </c>
    </row>
    <row r="2" spans="1:5" x14ac:dyDescent="0.3">
      <c r="A2" s="25" t="s">
        <v>886</v>
      </c>
      <c r="B2" s="26">
        <v>3000</v>
      </c>
      <c r="C2" s="26">
        <f>B2*1.35</f>
        <v>4050.0000000000005</v>
      </c>
      <c r="D2" s="26">
        <v>3900</v>
      </c>
      <c r="E2" s="130">
        <v>2750</v>
      </c>
    </row>
    <row r="3" spans="1:5" x14ac:dyDescent="0.3">
      <c r="A3" s="25" t="s">
        <v>887</v>
      </c>
      <c r="B3" s="26">
        <v>3000</v>
      </c>
      <c r="C3" s="26">
        <f t="shared" ref="C3:C8" si="0">B3*1.4</f>
        <v>4200</v>
      </c>
      <c r="D3" s="26">
        <v>3900</v>
      </c>
      <c r="E3" s="130">
        <v>2750</v>
      </c>
    </row>
    <row r="4" spans="1:5" x14ac:dyDescent="0.3">
      <c r="A4" s="25" t="s">
        <v>888</v>
      </c>
      <c r="B4" s="26">
        <v>3000</v>
      </c>
      <c r="C4" s="26">
        <f t="shared" si="0"/>
        <v>4200</v>
      </c>
      <c r="D4" s="26">
        <v>3900</v>
      </c>
      <c r="E4" s="130">
        <v>2750</v>
      </c>
    </row>
    <row r="5" spans="1:5" x14ac:dyDescent="0.3">
      <c r="A5" s="25" t="s">
        <v>889</v>
      </c>
      <c r="B5" s="26">
        <v>3000</v>
      </c>
      <c r="C5" s="26">
        <f t="shared" si="0"/>
        <v>4200</v>
      </c>
      <c r="D5" s="26">
        <v>3900</v>
      </c>
      <c r="E5" s="26">
        <v>2750</v>
      </c>
    </row>
    <row r="6" spans="1:5" x14ac:dyDescent="0.3">
      <c r="A6" s="25" t="s">
        <v>890</v>
      </c>
      <c r="B6" s="26">
        <v>3000</v>
      </c>
      <c r="C6" s="26">
        <f t="shared" si="0"/>
        <v>4200</v>
      </c>
      <c r="D6" s="26">
        <v>3900</v>
      </c>
      <c r="E6" s="130">
        <v>2750</v>
      </c>
    </row>
    <row r="7" spans="1:5" x14ac:dyDescent="0.3">
      <c r="A7" s="25" t="s">
        <v>891</v>
      </c>
      <c r="B7" s="26">
        <v>3000</v>
      </c>
      <c r="C7" s="26">
        <f t="shared" si="0"/>
        <v>4200</v>
      </c>
      <c r="D7" s="26">
        <v>3900</v>
      </c>
      <c r="E7" s="130"/>
    </row>
    <row r="8" spans="1:5" x14ac:dyDescent="0.3">
      <c r="A8" s="25" t="s">
        <v>892</v>
      </c>
      <c r="B8" s="26">
        <v>2000</v>
      </c>
      <c r="C8" s="26">
        <f t="shared" si="0"/>
        <v>2800</v>
      </c>
      <c r="D8" s="26">
        <v>2800</v>
      </c>
      <c r="E8" s="130"/>
    </row>
    <row r="9" spans="1:5" x14ac:dyDescent="0.3">
      <c r="A9" s="25" t="s">
        <v>893</v>
      </c>
      <c r="B9" s="26">
        <v>3400</v>
      </c>
      <c r="C9" s="26">
        <f>B9*1.3</f>
        <v>4420</v>
      </c>
      <c r="D9" s="26">
        <v>4400</v>
      </c>
      <c r="E9" s="130"/>
    </row>
    <row r="10" spans="1:5" x14ac:dyDescent="0.3">
      <c r="A10" s="25" t="s">
        <v>1383</v>
      </c>
      <c r="B10" s="26">
        <v>4700</v>
      </c>
      <c r="C10" s="26">
        <f>B10*1.6</f>
        <v>7520</v>
      </c>
      <c r="D10" s="26">
        <v>7600</v>
      </c>
      <c r="E10" s="130"/>
    </row>
    <row r="11" spans="1:5" x14ac:dyDescent="0.3">
      <c r="A11" s="25"/>
      <c r="B11" s="26"/>
      <c r="C11" s="26">
        <f>B11*1.7</f>
        <v>0</v>
      </c>
      <c r="D11" s="26"/>
      <c r="E11" s="130"/>
    </row>
    <row r="12" spans="1:5" x14ac:dyDescent="0.3">
      <c r="A12" s="25"/>
      <c r="B12" s="26"/>
      <c r="C12" s="26">
        <f>B12*1.4</f>
        <v>0</v>
      </c>
      <c r="D12" s="26"/>
      <c r="E12" s="130"/>
    </row>
    <row r="13" spans="1:5" x14ac:dyDescent="0.3">
      <c r="A13" s="25"/>
      <c r="B13" s="26"/>
      <c r="C13" s="26">
        <f>B13*1.6</f>
        <v>0</v>
      </c>
      <c r="D13" s="26"/>
      <c r="E13" s="130"/>
    </row>
    <row r="14" spans="1:5" x14ac:dyDescent="0.3">
      <c r="A14" s="25"/>
      <c r="B14" s="26"/>
      <c r="C14" s="26">
        <f>B14*1.5</f>
        <v>0</v>
      </c>
      <c r="D14" s="26"/>
      <c r="E14" s="130"/>
    </row>
    <row r="15" spans="1:5" x14ac:dyDescent="0.3">
      <c r="A15" s="25"/>
      <c r="B15" s="26"/>
      <c r="C15" s="26">
        <f>B15*1.7</f>
        <v>0</v>
      </c>
      <c r="D15" s="26"/>
      <c r="E15" s="130"/>
    </row>
    <row r="16" spans="1:5" x14ac:dyDescent="0.3">
      <c r="A16" s="25"/>
      <c r="B16" s="26"/>
      <c r="C16" s="26">
        <f>B16*1.6</f>
        <v>0</v>
      </c>
      <c r="D16" s="26"/>
      <c r="E16" s="130"/>
    </row>
    <row r="17" spans="1:5" x14ac:dyDescent="0.3">
      <c r="A17" s="25"/>
      <c r="B17" s="26"/>
      <c r="C17" s="26">
        <f>B17*1.5</f>
        <v>0</v>
      </c>
      <c r="D17" s="26"/>
      <c r="E17" s="130"/>
    </row>
    <row r="18" spans="1:5" x14ac:dyDescent="0.3">
      <c r="A18" s="25"/>
      <c r="B18" s="26"/>
      <c r="C18" s="26">
        <f>B18*1.7</f>
        <v>0</v>
      </c>
      <c r="D18" s="26"/>
      <c r="E18" s="130"/>
    </row>
    <row r="19" spans="1:5" x14ac:dyDescent="0.3">
      <c r="A19" s="25"/>
      <c r="B19" s="26"/>
      <c r="C19" s="26">
        <f>B19*1.6</f>
        <v>0</v>
      </c>
      <c r="D19" s="26"/>
      <c r="E19" s="130"/>
    </row>
    <row r="20" spans="1:5" x14ac:dyDescent="0.3">
      <c r="A20" s="25"/>
      <c r="B20" s="26"/>
      <c r="C20" s="26">
        <f>B20*1.5</f>
        <v>0</v>
      </c>
      <c r="D20" s="26"/>
      <c r="E20" s="130"/>
    </row>
    <row r="21" spans="1:5" x14ac:dyDescent="0.3">
      <c r="A21" s="25"/>
      <c r="B21" s="26"/>
      <c r="C21" s="26">
        <f>B21*1.4</f>
        <v>0</v>
      </c>
      <c r="D21" s="26"/>
      <c r="E21" s="130"/>
    </row>
    <row r="22" spans="1:5" x14ac:dyDescent="0.3">
      <c r="A22" s="25"/>
      <c r="B22" s="26"/>
      <c r="C22" s="26">
        <f>B22*1.5</f>
        <v>0</v>
      </c>
      <c r="D22" s="26"/>
      <c r="E22" s="130"/>
    </row>
    <row r="23" spans="1:5" x14ac:dyDescent="0.3">
      <c r="A23" s="25"/>
      <c r="B23" s="26"/>
      <c r="C23" s="26">
        <f>B23*1.5</f>
        <v>0</v>
      </c>
      <c r="D23" s="26"/>
      <c r="E23" s="130"/>
    </row>
    <row r="24" spans="1:5" x14ac:dyDescent="0.3">
      <c r="A24" s="25"/>
      <c r="B24" s="26"/>
      <c r="C24" s="26">
        <f>B24*1.5</f>
        <v>0</v>
      </c>
      <c r="D24" s="26"/>
      <c r="E24" s="130"/>
    </row>
    <row r="25" spans="1:5" x14ac:dyDescent="0.3">
      <c r="A25" s="25"/>
      <c r="B25" s="26"/>
      <c r="C25" s="26">
        <f>B25*1.4</f>
        <v>0</v>
      </c>
      <c r="D25" s="26"/>
      <c r="E25" s="130"/>
    </row>
    <row r="26" spans="1:5" x14ac:dyDescent="0.3">
      <c r="A26" s="25"/>
      <c r="B26" s="26"/>
      <c r="C26" s="26">
        <f>B26*1.7</f>
        <v>0</v>
      </c>
      <c r="D26" s="26"/>
      <c r="E26" s="130"/>
    </row>
    <row r="27" spans="1:5" x14ac:dyDescent="0.3">
      <c r="A27" s="25"/>
      <c r="B27" s="26"/>
      <c r="C27" s="26">
        <f>B27*1.6</f>
        <v>0</v>
      </c>
      <c r="D27" s="26"/>
      <c r="E27" s="130"/>
    </row>
    <row r="28" spans="1:5" x14ac:dyDescent="0.3">
      <c r="A28" s="25"/>
      <c r="B28" s="26"/>
      <c r="C28" s="26">
        <f>B28*1.5</f>
        <v>0</v>
      </c>
      <c r="D28" s="26"/>
      <c r="E28" s="130"/>
    </row>
    <row r="29" spans="1:5" x14ac:dyDescent="0.3">
      <c r="A29" s="25"/>
      <c r="B29" s="26"/>
      <c r="C29" s="26">
        <f>B29*1.4</f>
        <v>0</v>
      </c>
      <c r="D29" s="26"/>
      <c r="E29" s="130"/>
    </row>
    <row r="30" spans="1:5" x14ac:dyDescent="0.3">
      <c r="A30" s="25"/>
      <c r="B30" s="26"/>
      <c r="C30" s="26">
        <f>B30*1.7</f>
        <v>0</v>
      </c>
      <c r="D30" s="26"/>
      <c r="E30" s="130"/>
    </row>
    <row r="31" spans="1:5" x14ac:dyDescent="0.3">
      <c r="A31" s="25"/>
      <c r="B31" s="26"/>
      <c r="C31" s="26">
        <f>B31*1.6</f>
        <v>0</v>
      </c>
      <c r="D31" s="26"/>
      <c r="E31" s="130"/>
    </row>
    <row r="32" spans="1:5" x14ac:dyDescent="0.3">
      <c r="A32" s="25"/>
      <c r="B32" s="26"/>
      <c r="C32" s="26">
        <f>B32*1.5</f>
        <v>0</v>
      </c>
      <c r="D32" s="26"/>
      <c r="E32" s="26"/>
    </row>
    <row r="33" spans="1:5" x14ac:dyDescent="0.3">
      <c r="A33" s="25"/>
      <c r="B33" s="26"/>
      <c r="C33" s="26">
        <f>B33*1.4</f>
        <v>0</v>
      </c>
      <c r="D33" s="26"/>
      <c r="E33" s="130"/>
    </row>
    <row r="34" spans="1:5" x14ac:dyDescent="0.3">
      <c r="A34" s="25"/>
      <c r="B34" s="26"/>
      <c r="C34" s="26">
        <f>B34*1.7</f>
        <v>0</v>
      </c>
      <c r="D34" s="26"/>
      <c r="E34" s="130"/>
    </row>
    <row r="35" spans="1:5" x14ac:dyDescent="0.3">
      <c r="A35" s="25"/>
      <c r="B35" s="26"/>
      <c r="C35" s="26">
        <f>B35*1.6</f>
        <v>0</v>
      </c>
      <c r="D35" s="26"/>
      <c r="E35" s="130"/>
    </row>
    <row r="36" spans="1:5" x14ac:dyDescent="0.3">
      <c r="A36" s="25"/>
      <c r="B36" s="26"/>
      <c r="C36" s="26">
        <f>B36*1.5</f>
        <v>0</v>
      </c>
      <c r="D36" s="26"/>
      <c r="E36" s="130"/>
    </row>
    <row r="37" spans="1:5" x14ac:dyDescent="0.3">
      <c r="A37" s="25"/>
      <c r="B37" s="26"/>
      <c r="C37" s="26">
        <f>B37*1.7</f>
        <v>0</v>
      </c>
      <c r="D37" s="26"/>
      <c r="E37" s="130"/>
    </row>
    <row r="38" spans="1:5" x14ac:dyDescent="0.3">
      <c r="A38" s="25"/>
      <c r="B38" s="26"/>
      <c r="C38" s="26">
        <f>B38*1.4</f>
        <v>0</v>
      </c>
      <c r="D38" s="26"/>
      <c r="E38" s="130"/>
    </row>
    <row r="39" spans="1:5" x14ac:dyDescent="0.3">
      <c r="A39" s="25"/>
      <c r="B39" s="26"/>
      <c r="C39" s="26">
        <f>B39*1.4</f>
        <v>0</v>
      </c>
      <c r="D39" s="26"/>
      <c r="E39" s="130"/>
    </row>
    <row r="40" spans="1:5" x14ac:dyDescent="0.3">
      <c r="A40" s="25"/>
      <c r="B40" s="26"/>
      <c r="C40" s="26">
        <f>B40*1.7</f>
        <v>0</v>
      </c>
      <c r="D40" s="26"/>
      <c r="E40" s="130"/>
    </row>
    <row r="41" spans="1:5" x14ac:dyDescent="0.3">
      <c r="A41" s="25"/>
      <c r="B41" s="26"/>
      <c r="C41" s="26">
        <f>B41*1.6</f>
        <v>0</v>
      </c>
      <c r="D41" s="26"/>
      <c r="E41" s="130"/>
    </row>
    <row r="42" spans="1:5" x14ac:dyDescent="0.3">
      <c r="A42" s="25"/>
      <c r="B42" s="26"/>
      <c r="C42" s="26">
        <f>B42*1.5</f>
        <v>0</v>
      </c>
      <c r="D42" s="26"/>
      <c r="E42" s="130"/>
    </row>
    <row r="43" spans="1:5" x14ac:dyDescent="0.3">
      <c r="A43" s="25"/>
      <c r="B43" s="26"/>
      <c r="C43" s="26">
        <f>B43*1.4</f>
        <v>0</v>
      </c>
      <c r="D43" s="26"/>
      <c r="E43" s="130"/>
    </row>
    <row r="44" spans="1:5" x14ac:dyDescent="0.3">
      <c r="A44" s="25"/>
      <c r="B44" s="26"/>
      <c r="C44" s="26">
        <f>B44*1.5</f>
        <v>0</v>
      </c>
      <c r="D44" s="26"/>
      <c r="E44" s="130"/>
    </row>
    <row r="45" spans="1:5" x14ac:dyDescent="0.3">
      <c r="A45" s="25"/>
      <c r="B45" s="26"/>
      <c r="C45" s="26">
        <f>B45*1.7</f>
        <v>0</v>
      </c>
      <c r="D45" s="26"/>
      <c r="E45" s="130"/>
    </row>
    <row r="46" spans="1:5" x14ac:dyDescent="0.3">
      <c r="A46" s="25"/>
      <c r="B46" s="26"/>
      <c r="C46" s="26">
        <f>B46*1.6</f>
        <v>0</v>
      </c>
      <c r="D46" s="26"/>
      <c r="E46" s="130"/>
    </row>
    <row r="47" spans="1:5" x14ac:dyDescent="0.3">
      <c r="A47" s="25"/>
      <c r="B47" s="26"/>
      <c r="C47" s="26">
        <f>B47*1.6</f>
        <v>0</v>
      </c>
      <c r="D47" s="26"/>
      <c r="E47" s="130"/>
    </row>
    <row r="48" spans="1:5" x14ac:dyDescent="0.3">
      <c r="A48" s="25"/>
      <c r="B48" s="26"/>
      <c r="C48" s="26">
        <f>B48*1.5</f>
        <v>0</v>
      </c>
      <c r="D48" s="26"/>
      <c r="E48" s="130"/>
    </row>
    <row r="49" spans="1:5" x14ac:dyDescent="0.3">
      <c r="A49" s="25"/>
      <c r="B49" s="26"/>
      <c r="C49" s="26">
        <f>B49*1.7</f>
        <v>0</v>
      </c>
      <c r="D49" s="26"/>
      <c r="E49" s="130"/>
    </row>
    <row r="50" spans="1:5" x14ac:dyDescent="0.3">
      <c r="A50" s="25"/>
      <c r="B50" s="26"/>
      <c r="C50" s="26">
        <f>B50*1.6</f>
        <v>0</v>
      </c>
      <c r="D50" s="26"/>
      <c r="E50" s="130"/>
    </row>
    <row r="51" spans="1:5" x14ac:dyDescent="0.3">
      <c r="A51" s="25"/>
      <c r="B51" s="26"/>
      <c r="C51" s="26">
        <f>B51*1.5</f>
        <v>0</v>
      </c>
      <c r="D51" s="26"/>
      <c r="E51" s="130"/>
    </row>
    <row r="52" spans="1:5" x14ac:dyDescent="0.3">
      <c r="A52" s="25"/>
      <c r="B52" s="26"/>
      <c r="C52" s="26">
        <f>B52*1.6</f>
        <v>0</v>
      </c>
      <c r="D52" s="26"/>
      <c r="E52" s="130"/>
    </row>
    <row r="53" spans="1:5" x14ac:dyDescent="0.3">
      <c r="A53" s="25"/>
      <c r="B53" s="26"/>
      <c r="C53" s="26">
        <f>B53*1.5</f>
        <v>0</v>
      </c>
      <c r="D53" s="26"/>
      <c r="E53" s="130"/>
    </row>
    <row r="54" spans="1:5" x14ac:dyDescent="0.3">
      <c r="A54" s="25"/>
      <c r="B54" s="26"/>
      <c r="C54" s="26">
        <f>B54*1.5</f>
        <v>0</v>
      </c>
      <c r="D54" s="26"/>
      <c r="E54" s="130"/>
    </row>
    <row r="55" spans="1:5" x14ac:dyDescent="0.3">
      <c r="A55" s="25"/>
      <c r="B55" s="26"/>
      <c r="C55" s="26">
        <f>B55*1.6</f>
        <v>0</v>
      </c>
      <c r="D55" s="26"/>
      <c r="E55" s="130"/>
    </row>
    <row r="56" spans="1:5" x14ac:dyDescent="0.3">
      <c r="A56" s="25"/>
      <c r="B56" s="26"/>
      <c r="C56" s="26">
        <f>B56*1.6</f>
        <v>0</v>
      </c>
      <c r="D56" s="26"/>
      <c r="E56" s="130"/>
    </row>
    <row r="57" spans="1:5" x14ac:dyDescent="0.3">
      <c r="A57" s="25"/>
      <c r="B57" s="26"/>
      <c r="C57" s="26">
        <f>B57*1.5</f>
        <v>0</v>
      </c>
      <c r="D57" s="26"/>
      <c r="E57" s="130"/>
    </row>
    <row r="58" spans="1:5" x14ac:dyDescent="0.3">
      <c r="A58" s="25"/>
      <c r="B58" s="26"/>
      <c r="C58" s="26">
        <f>B58*1.7</f>
        <v>0</v>
      </c>
      <c r="D58" s="26"/>
      <c r="E58" s="130"/>
    </row>
    <row r="59" spans="1:5" x14ac:dyDescent="0.3">
      <c r="A59" s="25"/>
      <c r="B59" s="26"/>
      <c r="C59" s="26">
        <f>B59*1.6</f>
        <v>0</v>
      </c>
      <c r="D59" s="26"/>
      <c r="E59" s="130"/>
    </row>
    <row r="60" spans="1:5" x14ac:dyDescent="0.3">
      <c r="A60" s="25"/>
      <c r="B60" s="26"/>
      <c r="C60" s="26">
        <f>B60*1.7</f>
        <v>0</v>
      </c>
      <c r="D60" s="26"/>
      <c r="E60" s="130"/>
    </row>
    <row r="61" spans="1:5" x14ac:dyDescent="0.3">
      <c r="A61" s="25"/>
      <c r="B61" s="26"/>
      <c r="C61" s="26">
        <f>B61*1.6</f>
        <v>0</v>
      </c>
      <c r="D61" s="26"/>
      <c r="E61" s="130"/>
    </row>
    <row r="62" spans="1:5" x14ac:dyDescent="0.3">
      <c r="A62" s="25"/>
      <c r="B62" s="26"/>
      <c r="C62" s="26">
        <f>B62*1.5</f>
        <v>0</v>
      </c>
      <c r="D62" s="26"/>
      <c r="E62" s="130"/>
    </row>
    <row r="63" spans="1:5" x14ac:dyDescent="0.3">
      <c r="A63" s="25"/>
      <c r="B63" s="26"/>
      <c r="C63" s="26">
        <f>B63*1.4</f>
        <v>0</v>
      </c>
      <c r="D63" s="26"/>
      <c r="E63" s="130"/>
    </row>
    <row r="64" spans="1:5" x14ac:dyDescent="0.3">
      <c r="A64" s="25"/>
      <c r="B64" s="26"/>
      <c r="C64" s="26">
        <f>B64*1.5</f>
        <v>0</v>
      </c>
      <c r="D64" s="26"/>
      <c r="E64" s="130"/>
    </row>
    <row r="65" spans="1:5" x14ac:dyDescent="0.3">
      <c r="A65" s="25"/>
      <c r="B65" s="26"/>
      <c r="C65" s="26">
        <f>B65*1.6</f>
        <v>0</v>
      </c>
      <c r="D65" s="26"/>
      <c r="E65" s="130"/>
    </row>
    <row r="66" spans="1:5" x14ac:dyDescent="0.3">
      <c r="A66" s="25"/>
      <c r="B66" s="26"/>
      <c r="C66" s="26">
        <f>B66*1.5</f>
        <v>0</v>
      </c>
      <c r="D66" s="26"/>
      <c r="E66" s="130"/>
    </row>
    <row r="67" spans="1:5" x14ac:dyDescent="0.3">
      <c r="A67" s="25"/>
      <c r="B67" s="26"/>
      <c r="C67" s="26">
        <f>B67*1.6</f>
        <v>0</v>
      </c>
      <c r="D67" s="26"/>
      <c r="E67" s="130"/>
    </row>
    <row r="68" spans="1:5" x14ac:dyDescent="0.3">
      <c r="A68" s="25"/>
      <c r="B68" s="26"/>
      <c r="C68" s="26">
        <f>B68*1.6</f>
        <v>0</v>
      </c>
      <c r="D68" s="26"/>
      <c r="E68" s="130"/>
    </row>
    <row r="69" spans="1:5" x14ac:dyDescent="0.3">
      <c r="A69" s="25"/>
      <c r="B69" s="26"/>
      <c r="C69" s="26">
        <f>B69*1.5</f>
        <v>0</v>
      </c>
      <c r="D69" s="26"/>
      <c r="E69" s="130"/>
    </row>
    <row r="70" spans="1:5" x14ac:dyDescent="0.3">
      <c r="A70" s="25"/>
      <c r="B70" s="26"/>
      <c r="C70" s="26">
        <f>B70*1.4</f>
        <v>0</v>
      </c>
      <c r="D70" s="26"/>
      <c r="E70" s="130"/>
    </row>
    <row r="71" spans="1:5" x14ac:dyDescent="0.3">
      <c r="A71" s="25"/>
      <c r="B71" s="26"/>
      <c r="C71" s="26">
        <f>B71*1.3</f>
        <v>0</v>
      </c>
      <c r="D71" s="26"/>
      <c r="E71" s="130"/>
    </row>
    <row r="72" spans="1:5" x14ac:dyDescent="0.3">
      <c r="A72" s="25"/>
      <c r="B72" s="26"/>
      <c r="C72" s="26">
        <f>B72*1.6</f>
        <v>0</v>
      </c>
      <c r="D72" s="26"/>
      <c r="E72" s="130"/>
    </row>
    <row r="73" spans="1:5" x14ac:dyDescent="0.3">
      <c r="A73" s="25"/>
      <c r="B73" s="26"/>
      <c r="C73" s="26">
        <f>B73*1.5</f>
        <v>0</v>
      </c>
      <c r="D73" s="26"/>
      <c r="E73" s="130"/>
    </row>
    <row r="74" spans="1:5" x14ac:dyDescent="0.3">
      <c r="A74" s="25"/>
      <c r="B74" s="26"/>
      <c r="C74" s="26">
        <f>B74*1.6</f>
        <v>0</v>
      </c>
      <c r="D74" s="26"/>
      <c r="E74" s="130"/>
    </row>
    <row r="75" spans="1:5" x14ac:dyDescent="0.3">
      <c r="A75" s="25"/>
      <c r="B75" s="26"/>
      <c r="C75" s="26">
        <f>B75*1.4</f>
        <v>0</v>
      </c>
      <c r="D75" s="26"/>
      <c r="E75" s="130"/>
    </row>
    <row r="76" spans="1:5" x14ac:dyDescent="0.3">
      <c r="A76" s="25"/>
      <c r="B76" s="26"/>
      <c r="C76" s="26">
        <f>B76*1.7</f>
        <v>0</v>
      </c>
      <c r="D76" s="26"/>
      <c r="E76" s="130"/>
    </row>
    <row r="77" spans="1:5" x14ac:dyDescent="0.3">
      <c r="A77" s="25"/>
      <c r="B77" s="26"/>
      <c r="C77" s="26">
        <f>B77*1.6</f>
        <v>0</v>
      </c>
      <c r="D77" s="26"/>
      <c r="E77" s="130"/>
    </row>
    <row r="78" spans="1:5" x14ac:dyDescent="0.3">
      <c r="A78" s="25"/>
      <c r="B78" s="26"/>
      <c r="C78" s="26">
        <f>B78*1.5</f>
        <v>0</v>
      </c>
      <c r="D78" s="26"/>
      <c r="E78" s="130"/>
    </row>
    <row r="79" spans="1:5" x14ac:dyDescent="0.3">
      <c r="A79" s="25"/>
      <c r="B79" s="26"/>
      <c r="C79" s="26">
        <f>B79*1.7</f>
        <v>0</v>
      </c>
      <c r="D79" s="26"/>
      <c r="E79" s="130"/>
    </row>
    <row r="80" spans="1:5" x14ac:dyDescent="0.3">
      <c r="A80" s="25"/>
      <c r="B80" s="26"/>
      <c r="C80" s="26">
        <f>B80*1.6</f>
        <v>0</v>
      </c>
      <c r="D80" s="26"/>
      <c r="E80" s="130"/>
    </row>
    <row r="81" spans="1:5" x14ac:dyDescent="0.3">
      <c r="A81" s="25"/>
      <c r="B81" s="26"/>
      <c r="C81" s="26">
        <f>B81*1.5</f>
        <v>0</v>
      </c>
      <c r="D81" s="26"/>
      <c r="E81" s="130"/>
    </row>
    <row r="82" spans="1:5" x14ac:dyDescent="0.3">
      <c r="A82" s="25"/>
      <c r="B82" s="26"/>
      <c r="C82" s="26">
        <f>B82*1.4</f>
        <v>0</v>
      </c>
      <c r="D82" s="26"/>
      <c r="E82" s="130"/>
    </row>
    <row r="83" spans="1:5" x14ac:dyDescent="0.3">
      <c r="A83" s="25"/>
      <c r="B83" s="26"/>
      <c r="C83" s="26">
        <f>B83*1.5</f>
        <v>0</v>
      </c>
      <c r="D83" s="26"/>
      <c r="E83" s="130"/>
    </row>
    <row r="84" spans="1:5" x14ac:dyDescent="0.3">
      <c r="A84" s="25"/>
      <c r="B84" s="26"/>
      <c r="C84" s="26">
        <f>B84*1.5</f>
        <v>0</v>
      </c>
      <c r="D84" s="26"/>
      <c r="E84" s="130"/>
    </row>
    <row r="85" spans="1:5" x14ac:dyDescent="0.3">
      <c r="A85" s="25"/>
      <c r="B85" s="26"/>
      <c r="C85" s="26">
        <f>B85*1.5</f>
        <v>0</v>
      </c>
      <c r="D85" s="26"/>
      <c r="E85" s="130"/>
    </row>
    <row r="86" spans="1:5" x14ac:dyDescent="0.3">
      <c r="A86" s="25"/>
      <c r="B86" s="26"/>
      <c r="C86" s="26">
        <f>B86*1.7</f>
        <v>0</v>
      </c>
      <c r="D86" s="26"/>
      <c r="E86" s="130"/>
    </row>
    <row r="87" spans="1:5" x14ac:dyDescent="0.3">
      <c r="A87" s="25"/>
      <c r="B87" s="26"/>
      <c r="C87" s="26">
        <f>B87*1.6</f>
        <v>0</v>
      </c>
      <c r="D87" s="26"/>
      <c r="E87" s="130"/>
    </row>
    <row r="88" spans="1:5" x14ac:dyDescent="0.3">
      <c r="A88" s="25"/>
      <c r="B88" s="26"/>
      <c r="C88" s="26">
        <f>B88*1.5</f>
        <v>0</v>
      </c>
      <c r="D88" s="26"/>
      <c r="E88" s="130"/>
    </row>
    <row r="89" spans="1:5" x14ac:dyDescent="0.3">
      <c r="A89" s="25"/>
      <c r="B89" s="26"/>
      <c r="C89" s="26">
        <f>B89*1.4</f>
        <v>0</v>
      </c>
      <c r="D89" s="26"/>
      <c r="E89" s="130"/>
    </row>
    <row r="90" spans="1:5" x14ac:dyDescent="0.3">
      <c r="A90" s="25"/>
      <c r="B90" s="26"/>
      <c r="C90" s="26">
        <f>B90*1.7</f>
        <v>0</v>
      </c>
      <c r="D90" s="26"/>
      <c r="E90" s="130"/>
    </row>
    <row r="91" spans="1:5" x14ac:dyDescent="0.3">
      <c r="A91" s="25"/>
      <c r="B91" s="26"/>
      <c r="C91" s="26">
        <f>B91*1.6</f>
        <v>0</v>
      </c>
      <c r="D91" s="26"/>
      <c r="E91" s="130"/>
    </row>
    <row r="92" spans="1:5" x14ac:dyDescent="0.3">
      <c r="A92" s="25"/>
      <c r="B92" s="26"/>
      <c r="C92" s="26">
        <f>B92*1.5</f>
        <v>0</v>
      </c>
      <c r="D92" s="26"/>
      <c r="E92" s="130"/>
    </row>
    <row r="93" spans="1:5" x14ac:dyDescent="0.3">
      <c r="A93" s="25"/>
      <c r="B93" s="26"/>
      <c r="C93" s="26">
        <f>B93*1.4</f>
        <v>0</v>
      </c>
      <c r="D93" s="26"/>
      <c r="E93" s="130"/>
    </row>
    <row r="94" spans="1:5" x14ac:dyDescent="0.3">
      <c r="A94" s="25"/>
      <c r="B94" s="26"/>
      <c r="C94" s="26">
        <f t="shared" ref="C94:C105" si="1">B94*1.5</f>
        <v>0</v>
      </c>
      <c r="D94" s="26"/>
      <c r="E94" s="130"/>
    </row>
    <row r="95" spans="1:5" x14ac:dyDescent="0.3">
      <c r="A95" s="25"/>
      <c r="B95" s="26"/>
      <c r="C95" s="26">
        <f t="shared" si="1"/>
        <v>0</v>
      </c>
      <c r="D95" s="26"/>
      <c r="E95" s="130"/>
    </row>
    <row r="96" spans="1:5" x14ac:dyDescent="0.3">
      <c r="A96" s="25"/>
      <c r="B96" s="26"/>
      <c r="C96" s="26">
        <f t="shared" si="1"/>
        <v>0</v>
      </c>
      <c r="D96" s="26"/>
      <c r="E96" s="130"/>
    </row>
    <row r="97" spans="1:5" x14ac:dyDescent="0.3">
      <c r="A97" s="25"/>
      <c r="B97" s="26"/>
      <c r="C97" s="26">
        <f t="shared" si="1"/>
        <v>0</v>
      </c>
      <c r="D97" s="26"/>
      <c r="E97" s="130"/>
    </row>
    <row r="98" spans="1:5" x14ac:dyDescent="0.3">
      <c r="A98" s="25"/>
      <c r="B98" s="26"/>
      <c r="C98" s="26">
        <f t="shared" si="1"/>
        <v>0</v>
      </c>
      <c r="D98" s="26"/>
      <c r="E98" s="130"/>
    </row>
    <row r="99" spans="1:5" x14ac:dyDescent="0.3">
      <c r="A99" s="25"/>
      <c r="B99" s="26"/>
      <c r="C99" s="26">
        <f t="shared" si="1"/>
        <v>0</v>
      </c>
      <c r="D99" s="26"/>
      <c r="E99" s="130"/>
    </row>
    <row r="100" spans="1:5" x14ac:dyDescent="0.3">
      <c r="A100" s="25"/>
      <c r="B100" s="26"/>
      <c r="C100" s="26">
        <f t="shared" si="1"/>
        <v>0</v>
      </c>
      <c r="D100" s="26"/>
      <c r="E100" s="130"/>
    </row>
    <row r="101" spans="1:5" x14ac:dyDescent="0.3">
      <c r="A101" s="25"/>
      <c r="B101" s="26"/>
      <c r="C101" s="26">
        <f t="shared" si="1"/>
        <v>0</v>
      </c>
      <c r="D101" s="26"/>
      <c r="E101" s="130"/>
    </row>
    <row r="102" spans="1:5" x14ac:dyDescent="0.3">
      <c r="A102" s="25"/>
      <c r="B102" s="26"/>
      <c r="C102" s="26">
        <f t="shared" si="1"/>
        <v>0</v>
      </c>
      <c r="D102" s="26"/>
      <c r="E102" s="130"/>
    </row>
    <row r="103" spans="1:5" x14ac:dyDescent="0.3">
      <c r="A103" s="25"/>
      <c r="B103" s="26"/>
      <c r="C103" s="26">
        <f t="shared" si="1"/>
        <v>0</v>
      </c>
      <c r="D103" s="26"/>
      <c r="E103" s="130"/>
    </row>
    <row r="104" spans="1:5" x14ac:dyDescent="0.3">
      <c r="A104" s="25"/>
      <c r="B104" s="26"/>
      <c r="C104" s="26">
        <f t="shared" si="1"/>
        <v>0</v>
      </c>
      <c r="D104" s="26"/>
      <c r="E104" s="130"/>
    </row>
    <row r="105" spans="1:5" x14ac:dyDescent="0.3">
      <c r="A105" s="25"/>
      <c r="B105" s="26"/>
      <c r="C105" s="26">
        <f t="shared" si="1"/>
        <v>0</v>
      </c>
      <c r="D105" s="26"/>
      <c r="E105" s="130"/>
    </row>
    <row r="106" spans="1:5" x14ac:dyDescent="0.3">
      <c r="A106" s="25"/>
      <c r="B106" s="26"/>
      <c r="C106" s="26">
        <f>B106*1.6</f>
        <v>0</v>
      </c>
      <c r="D106" s="26"/>
      <c r="E106" s="130"/>
    </row>
    <row r="107" spans="1:5" x14ac:dyDescent="0.3">
      <c r="A107" s="25"/>
      <c r="B107" s="26"/>
      <c r="C107" s="26">
        <f>B107*1.7</f>
        <v>0</v>
      </c>
      <c r="D107" s="26"/>
      <c r="E107" s="130"/>
    </row>
    <row r="108" spans="1:5" x14ac:dyDescent="0.3">
      <c r="A108" s="25"/>
      <c r="B108" s="26"/>
      <c r="C108" s="26">
        <f>B108*1.4</f>
        <v>0</v>
      </c>
      <c r="D108" s="26"/>
      <c r="E108" s="130"/>
    </row>
    <row r="109" spans="1:5" x14ac:dyDescent="0.3">
      <c r="A109" s="25"/>
      <c r="B109" s="26"/>
      <c r="C109" s="26">
        <f>B109*1.5</f>
        <v>0</v>
      </c>
      <c r="D109" s="26"/>
      <c r="E109" s="130"/>
    </row>
    <row r="110" spans="1:5" x14ac:dyDescent="0.3">
      <c r="A110" s="25"/>
      <c r="B110" s="26"/>
      <c r="C110" s="26">
        <f>B110*1.4</f>
        <v>0</v>
      </c>
      <c r="D110" s="26"/>
      <c r="E110" s="130"/>
    </row>
    <row r="111" spans="1:5" x14ac:dyDescent="0.3">
      <c r="A111" s="25"/>
      <c r="B111" s="26"/>
      <c r="C111" s="26">
        <f>B111*1.5</f>
        <v>0</v>
      </c>
      <c r="D111" s="26"/>
      <c r="E111" s="26"/>
    </row>
    <row r="112" spans="1:5" x14ac:dyDescent="0.3">
      <c r="A112" s="25"/>
      <c r="B112" s="26"/>
      <c r="C112" s="26">
        <f>B112*1.7</f>
        <v>0</v>
      </c>
      <c r="D112" s="26"/>
      <c r="E112" s="130"/>
    </row>
    <row r="113" spans="1:5" x14ac:dyDescent="0.3">
      <c r="A113" s="25"/>
      <c r="B113" s="26"/>
      <c r="C113" s="26">
        <f>B113*1.6</f>
        <v>0</v>
      </c>
      <c r="D113" s="26"/>
      <c r="E113" s="130"/>
    </row>
    <row r="114" spans="1:5" x14ac:dyDescent="0.3">
      <c r="A114" s="25"/>
      <c r="B114" s="26"/>
      <c r="C114" s="26">
        <f>B114*1.4</f>
        <v>0</v>
      </c>
      <c r="D114" s="26"/>
      <c r="E114" s="130"/>
    </row>
    <row r="115" spans="1:5" x14ac:dyDescent="0.3">
      <c r="A115" s="25"/>
      <c r="B115" s="26"/>
      <c r="C115" s="26">
        <f>B115*1.7</f>
        <v>0</v>
      </c>
      <c r="D115" s="26"/>
      <c r="E115" s="130"/>
    </row>
    <row r="116" spans="1:5" x14ac:dyDescent="0.3">
      <c r="A116" s="25"/>
      <c r="B116" s="26"/>
      <c r="C116" s="26">
        <f>B116*1.6</f>
        <v>0</v>
      </c>
      <c r="D116" s="26"/>
      <c r="E116" s="130"/>
    </row>
    <row r="117" spans="1:5" x14ac:dyDescent="0.3">
      <c r="A117" s="25"/>
      <c r="B117" s="26"/>
      <c r="C117" s="26">
        <f>B117*1.5</f>
        <v>0</v>
      </c>
      <c r="D117" s="26"/>
      <c r="E117" s="130"/>
    </row>
    <row r="118" spans="1:5" x14ac:dyDescent="0.3">
      <c r="A118" s="25"/>
      <c r="B118" s="26"/>
      <c r="C118" s="26">
        <f>B118*1.5</f>
        <v>0</v>
      </c>
      <c r="D118" s="26"/>
      <c r="E118" s="130"/>
    </row>
    <row r="119" spans="1:5" x14ac:dyDescent="0.3">
      <c r="A119" s="25"/>
      <c r="B119" s="26"/>
      <c r="C119" s="26">
        <f>B119*1.4</f>
        <v>0</v>
      </c>
      <c r="D119" s="26"/>
      <c r="E119" s="130"/>
    </row>
    <row r="120" spans="1:5" x14ac:dyDescent="0.3">
      <c r="A120" s="25"/>
      <c r="B120" s="26"/>
      <c r="C120" s="26">
        <f>B120*1.4</f>
        <v>0</v>
      </c>
      <c r="D120" s="26"/>
      <c r="E120" s="130"/>
    </row>
    <row r="121" spans="1:5" x14ac:dyDescent="0.3">
      <c r="A121" s="25"/>
      <c r="B121" s="26"/>
      <c r="C121" s="26">
        <f>B121*1.6</f>
        <v>0</v>
      </c>
      <c r="D121" s="26"/>
      <c r="E121" s="130"/>
    </row>
    <row r="122" spans="1:5" x14ac:dyDescent="0.3">
      <c r="A122" s="25"/>
      <c r="B122" s="26"/>
      <c r="C122" s="26">
        <f>B122*1.5</f>
        <v>0</v>
      </c>
      <c r="D122" s="26"/>
      <c r="E122" s="130"/>
    </row>
    <row r="123" spans="1:5" x14ac:dyDescent="0.3">
      <c r="A123" s="25"/>
      <c r="B123" s="26"/>
      <c r="C123" s="26">
        <f>B123*1.6</f>
        <v>0</v>
      </c>
      <c r="D123" s="26"/>
      <c r="E123" s="130"/>
    </row>
    <row r="124" spans="1:5" x14ac:dyDescent="0.3">
      <c r="A124" s="25"/>
      <c r="B124" s="26"/>
      <c r="C124" s="26">
        <f>B124*1.8</f>
        <v>0</v>
      </c>
      <c r="D124" s="26"/>
      <c r="E124" s="130"/>
    </row>
    <row r="125" spans="1:5" x14ac:dyDescent="0.3">
      <c r="A125" s="25"/>
      <c r="B125" s="26"/>
      <c r="C125" s="26">
        <f>B125*1.4</f>
        <v>0</v>
      </c>
      <c r="D125" s="26"/>
      <c r="E125" s="130"/>
    </row>
    <row r="126" spans="1:5" x14ac:dyDescent="0.3">
      <c r="A126" s="25"/>
      <c r="B126" s="26"/>
      <c r="C126" s="26">
        <f>B126*1.6</f>
        <v>0</v>
      </c>
      <c r="D126" s="26"/>
      <c r="E126" s="130"/>
    </row>
    <row r="127" spans="1:5" x14ac:dyDescent="0.3">
      <c r="A127" s="25"/>
      <c r="B127" s="26"/>
      <c r="C127" s="26">
        <f>B127*1.5</f>
        <v>0</v>
      </c>
      <c r="D127" s="26"/>
      <c r="E127" s="130"/>
    </row>
    <row r="128" spans="1:5" x14ac:dyDescent="0.3">
      <c r="A128" s="25"/>
      <c r="B128" s="26"/>
      <c r="C128" s="26">
        <f>B128*1.5</f>
        <v>0</v>
      </c>
      <c r="D128" s="26"/>
      <c r="E128" s="130"/>
    </row>
    <row r="129" spans="1:5" x14ac:dyDescent="0.3">
      <c r="A129" s="25"/>
      <c r="B129" s="26"/>
      <c r="C129" s="26">
        <f>B129*1.5</f>
        <v>0</v>
      </c>
      <c r="D129" s="26"/>
      <c r="E129" s="130"/>
    </row>
    <row r="130" spans="1:5" x14ac:dyDescent="0.3">
      <c r="A130" s="25"/>
      <c r="B130" s="26"/>
      <c r="C130" s="26">
        <f>B130*1.5</f>
        <v>0</v>
      </c>
      <c r="D130" s="26"/>
      <c r="E130" s="130"/>
    </row>
    <row r="131" spans="1:5" x14ac:dyDescent="0.3">
      <c r="A131" s="25"/>
      <c r="B131" s="26"/>
      <c r="C131" s="26">
        <f>B131*1.4</f>
        <v>0</v>
      </c>
      <c r="D131" s="26"/>
      <c r="E131" s="130"/>
    </row>
    <row r="132" spans="1:5" x14ac:dyDescent="0.3">
      <c r="A132" s="25"/>
      <c r="B132" s="26"/>
      <c r="C132" s="26">
        <f>B132*1.7</f>
        <v>0</v>
      </c>
      <c r="D132" s="26"/>
      <c r="E132" s="130"/>
    </row>
    <row r="133" spans="1:5" x14ac:dyDescent="0.3">
      <c r="A133" s="25"/>
      <c r="B133" s="26"/>
      <c r="C133" s="26">
        <f>B133*1.6</f>
        <v>0</v>
      </c>
      <c r="D133" s="26"/>
      <c r="E133" s="130"/>
    </row>
    <row r="134" spans="1:5" x14ac:dyDescent="0.3">
      <c r="A134" s="25"/>
      <c r="B134" s="26"/>
      <c r="C134" s="26">
        <f>B134*1.5</f>
        <v>0</v>
      </c>
      <c r="D134" s="26"/>
      <c r="E134" s="130"/>
    </row>
    <row r="135" spans="1:5" x14ac:dyDescent="0.3">
      <c r="A135" s="25"/>
      <c r="B135" s="26"/>
      <c r="C135" s="26">
        <f>B135*1.7</f>
        <v>0</v>
      </c>
      <c r="D135" s="26"/>
      <c r="E135" s="130"/>
    </row>
    <row r="136" spans="1:5" x14ac:dyDescent="0.3">
      <c r="A136" s="25"/>
      <c r="B136" s="26"/>
      <c r="C136" s="26">
        <f>B136*1.8</f>
        <v>0</v>
      </c>
      <c r="D136" s="26"/>
      <c r="E136" s="130"/>
    </row>
    <row r="137" spans="1:5" x14ac:dyDescent="0.3">
      <c r="A137" s="25"/>
      <c r="B137" s="26"/>
      <c r="C137" s="26">
        <f t="shared" ref="C137:C151" si="2">B137*1.5</f>
        <v>0</v>
      </c>
      <c r="D137" s="26"/>
      <c r="E137" s="130"/>
    </row>
    <row r="138" spans="1:5" x14ac:dyDescent="0.3">
      <c r="A138" s="25"/>
      <c r="B138" s="26"/>
      <c r="C138" s="26">
        <f t="shared" si="2"/>
        <v>0</v>
      </c>
      <c r="D138" s="26"/>
      <c r="E138" s="130"/>
    </row>
    <row r="139" spans="1:5" x14ac:dyDescent="0.3">
      <c r="A139" s="25"/>
      <c r="B139" s="26"/>
      <c r="C139" s="26">
        <f t="shared" si="2"/>
        <v>0</v>
      </c>
      <c r="D139" s="26"/>
      <c r="E139" s="130"/>
    </row>
    <row r="140" spans="1:5" x14ac:dyDescent="0.3">
      <c r="A140" s="25"/>
      <c r="B140" s="26"/>
      <c r="C140" s="26">
        <f t="shared" si="2"/>
        <v>0</v>
      </c>
      <c r="D140" s="26"/>
      <c r="E140" s="130"/>
    </row>
    <row r="141" spans="1:5" x14ac:dyDescent="0.3">
      <c r="A141" s="25"/>
      <c r="B141" s="26"/>
      <c r="C141" s="26">
        <f t="shared" si="2"/>
        <v>0</v>
      </c>
      <c r="D141" s="26"/>
      <c r="E141" s="130"/>
    </row>
    <row r="142" spans="1:5" x14ac:dyDescent="0.3">
      <c r="A142" s="25"/>
      <c r="B142" s="26"/>
      <c r="C142" s="26">
        <f t="shared" si="2"/>
        <v>0</v>
      </c>
      <c r="D142" s="26"/>
      <c r="E142" s="130"/>
    </row>
    <row r="143" spans="1:5" x14ac:dyDescent="0.3">
      <c r="A143" s="25"/>
      <c r="B143" s="26"/>
      <c r="C143" s="26">
        <f t="shared" si="2"/>
        <v>0</v>
      </c>
      <c r="D143" s="26"/>
      <c r="E143" s="130"/>
    </row>
    <row r="144" spans="1:5" x14ac:dyDescent="0.3">
      <c r="A144" s="25"/>
      <c r="B144" s="26"/>
      <c r="C144" s="26">
        <f t="shared" si="2"/>
        <v>0</v>
      </c>
      <c r="D144" s="26"/>
      <c r="E144" s="130"/>
    </row>
    <row r="145" spans="1:5" x14ac:dyDescent="0.3">
      <c r="A145" s="25"/>
      <c r="B145" s="26"/>
      <c r="C145" s="26">
        <f t="shared" si="2"/>
        <v>0</v>
      </c>
      <c r="D145" s="26"/>
      <c r="E145" s="130"/>
    </row>
    <row r="146" spans="1:5" x14ac:dyDescent="0.3">
      <c r="A146" s="25"/>
      <c r="B146" s="26"/>
      <c r="C146" s="26">
        <f t="shared" si="2"/>
        <v>0</v>
      </c>
      <c r="D146" s="26"/>
      <c r="E146" s="130"/>
    </row>
    <row r="147" spans="1:5" x14ac:dyDescent="0.3">
      <c r="A147" s="25"/>
      <c r="B147" s="26"/>
      <c r="C147" s="26">
        <f t="shared" si="2"/>
        <v>0</v>
      </c>
      <c r="D147" s="26"/>
      <c r="E147" s="130"/>
    </row>
    <row r="148" spans="1:5" x14ac:dyDescent="0.3">
      <c r="A148" s="25"/>
      <c r="B148" s="26"/>
      <c r="C148" s="26">
        <f t="shared" si="2"/>
        <v>0</v>
      </c>
      <c r="D148" s="26"/>
      <c r="E148" s="130"/>
    </row>
    <row r="149" spans="1:5" x14ac:dyDescent="0.3">
      <c r="A149" s="25"/>
      <c r="B149" s="26"/>
      <c r="C149" s="26">
        <f t="shared" si="2"/>
        <v>0</v>
      </c>
      <c r="D149" s="26"/>
      <c r="E149" s="130"/>
    </row>
    <row r="150" spans="1:5" x14ac:dyDescent="0.3">
      <c r="A150" s="25"/>
      <c r="B150" s="26"/>
      <c r="C150" s="26">
        <f t="shared" si="2"/>
        <v>0</v>
      </c>
      <c r="D150" s="26"/>
      <c r="E150" s="27"/>
    </row>
    <row r="151" spans="1:5" x14ac:dyDescent="0.3">
      <c r="A151" s="25"/>
      <c r="B151" s="26"/>
      <c r="C151" s="26">
        <f t="shared" si="2"/>
        <v>0</v>
      </c>
      <c r="D151" s="26"/>
      <c r="E151" s="27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22</vt:i4>
      </vt:variant>
    </vt:vector>
  </HeadingPairs>
  <TitlesOfParts>
    <vt:vector size="22" baseType="lpstr">
      <vt:lpstr>GRANOLAS-BARRITAS</vt:lpstr>
      <vt:lpstr>SUPLEMENTOS- COSMETOL.</vt:lpstr>
      <vt:lpstr>DULCES-MIEL</vt:lpstr>
      <vt:lpstr>CONDIMENTOS </vt:lpstr>
      <vt:lpstr>ACEITES-SAL-LEV</vt:lpstr>
      <vt:lpstr>FIDEOS</vt:lpstr>
      <vt:lpstr> HARINAS-PREMEZCLAS</vt:lpstr>
      <vt:lpstr>CHOCOLATES</vt:lpstr>
      <vt:lpstr>ALFAJOR GALLE PAN</vt:lpstr>
      <vt:lpstr>SNACKS</vt:lpstr>
      <vt:lpstr> TE-CAFE-YERBA-EDULC</vt:lpstr>
      <vt:lpstr>CONGELADOS</vt:lpstr>
      <vt:lpstr>FRESCOS</vt:lpstr>
      <vt:lpstr>BEBIDAS</vt:lpstr>
      <vt:lpstr>FRUTOS SECOS</vt:lpstr>
      <vt:lpstr>SIN TACC</vt:lpstr>
      <vt:lpstr>CEREALES</vt:lpstr>
      <vt:lpstr>FRUTAS DESHID.</vt:lpstr>
      <vt:lpstr>YUYOS Y TINTURAS</vt:lpstr>
      <vt:lpstr>ARROZ-LEGUMBRES-SEMILLAS</vt:lpstr>
      <vt:lpstr>REPOSTERIA</vt:lpstr>
      <vt:lpstr>KETO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2024-12-23T20:50:06Z</dcterms:modified>
</cp:coreProperties>
</file>